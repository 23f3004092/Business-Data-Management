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7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1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Bdm project docs\"/>
    </mc:Choice>
  </mc:AlternateContent>
  <xr:revisionPtr revIDLastSave="0" documentId="13_ncr:1_{135C598F-6CAE-4841-890C-8A1FAE9AF6D2}" xr6:coauthVersionLast="36" xr6:coauthVersionMax="36" xr10:uidLastSave="{00000000-0000-0000-0000-000000000000}"/>
  <bookViews>
    <workbookView xWindow="0" yWindow="0" windowWidth="17256" windowHeight="5556" tabRatio="827" activeTab="1" xr2:uid="{6FA46D65-F7DB-43E6-8CFB-C1EAE4D8796B}"/>
  </bookViews>
  <sheets>
    <sheet name="Medicinal Purchase" sheetId="1" r:id="rId1"/>
    <sheet name="Non-medicinal Sales" sheetId="6" r:id="rId2"/>
    <sheet name="Medicinal details" sheetId="2" r:id="rId3"/>
    <sheet name="Non-medicinal details" sheetId="10" r:id="rId4"/>
    <sheet name="Non med analysis" sheetId="3" r:id="rId5"/>
    <sheet name="Medicinal Analysis" sheetId="8" r:id="rId6"/>
  </sheets>
  <definedNames>
    <definedName name="_xlnm._FilterDatabase" localSheetId="1" hidden="1">'Non-medicinal Sales'!$A$2:$G$332</definedName>
    <definedName name="_xlchart.v1.0" hidden="1">'Non med analysis'!$G$4:$G$14</definedName>
    <definedName name="_xlchart.v1.1" hidden="1">'Non med analysis'!$H$3</definedName>
    <definedName name="_xlchart.v1.10" hidden="1">'Non med analysis'!$I$20:$I$25</definedName>
    <definedName name="_xlchart.v1.11" hidden="1">'Non med analysis'!$H$29:$H$58</definedName>
    <definedName name="_xlchart.v1.12" hidden="1">'Non med analysis'!$L$4:$L$9</definedName>
    <definedName name="_xlchart.v1.13" hidden="1">'Non med analysis'!$M$3</definedName>
    <definedName name="_xlchart.v1.14" hidden="1">'Non med analysis'!$M$4:$M$9</definedName>
    <definedName name="_xlchart.v1.15" hidden="1">'Non med analysis'!$B$51:$B$80</definedName>
    <definedName name="_xlchart.v1.2" hidden="1">'Non med analysis'!$H$4:$H$14</definedName>
    <definedName name="_xlchart.v1.22" hidden="1">'Medicinal Analysis'!$E$45:$E$51</definedName>
    <definedName name="_xlchart.v1.3" hidden="1">'Non med analysis'!$I$3</definedName>
    <definedName name="_xlchart.v1.4" hidden="1">'Non med analysis'!$I$4:$I$14</definedName>
    <definedName name="_xlchart.v1.5" hidden="1">'Non med analysis'!$J$3</definedName>
    <definedName name="_xlchart.v1.6" hidden="1">'Non med analysis'!$J$4:$J$14</definedName>
    <definedName name="_xlchart.v1.7" hidden="1">'Non med analysis'!$B$51:$B$80</definedName>
    <definedName name="_xlchart.v1.8" hidden="1">'Non med analysis'!$G$20:$G$25</definedName>
    <definedName name="_xlchart.v1.9" hidden="1">'Non med analysis'!$I$19</definedName>
    <definedName name="_xlchart.v2.16" hidden="1">'Medicinal Analysis'!$D$5:$D$7</definedName>
    <definedName name="_xlchart.v2.17" hidden="1">'Medicinal Analysis'!$E$4</definedName>
    <definedName name="_xlchart.v2.18" hidden="1">'Medicinal Analysis'!$E$5:$E$7</definedName>
    <definedName name="_xlchart.v2.19" hidden="1">'Medicinal Analysis'!$D$5:$D$7</definedName>
    <definedName name="_xlchart.v2.20" hidden="1">'Medicinal Analysis'!$E$4</definedName>
    <definedName name="_xlchart.v2.21" hidden="1">'Medicinal Analysis'!$E$5:$E$7</definedName>
  </definedNames>
  <calcPr calcId="191029"/>
  <pivotCaches>
    <pivotCache cacheId="53" r:id="rId7"/>
    <pivotCache cacheId="74" r:id="rId8"/>
    <pivotCache cacheId="9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6" l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" i="6"/>
  <c r="L31" i="3"/>
  <c r="H7" i="3"/>
  <c r="H5" i="3"/>
  <c r="H6" i="3"/>
  <c r="H8" i="3"/>
  <c r="H10" i="3"/>
  <c r="H9" i="3"/>
  <c r="H11" i="3"/>
  <c r="H13" i="3"/>
  <c r="H12" i="3"/>
  <c r="H14" i="3"/>
  <c r="H4" i="3"/>
  <c r="H73" i="3"/>
  <c r="E60" i="8"/>
  <c r="E59" i="8"/>
  <c r="E58" i="8"/>
  <c r="E57" i="8"/>
  <c r="E56" i="8"/>
  <c r="E61" i="8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" i="6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F119" i="6" s="1"/>
  <c r="E120" i="6"/>
  <c r="F120" i="6" s="1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129" i="6"/>
  <c r="F129" i="6" s="1"/>
  <c r="E130" i="6"/>
  <c r="F130" i="6" s="1"/>
  <c r="E131" i="6"/>
  <c r="F131" i="6" s="1"/>
  <c r="E132" i="6"/>
  <c r="F132" i="6" s="1"/>
  <c r="E133" i="6"/>
  <c r="F133" i="6" s="1"/>
  <c r="E134" i="6"/>
  <c r="F134" i="6" s="1"/>
  <c r="E135" i="6"/>
  <c r="F135" i="6" s="1"/>
  <c r="E136" i="6"/>
  <c r="F136" i="6" s="1"/>
  <c r="E137" i="6"/>
  <c r="F137" i="6" s="1"/>
  <c r="E138" i="6"/>
  <c r="F138" i="6" s="1"/>
  <c r="E139" i="6"/>
  <c r="F139" i="6" s="1"/>
  <c r="E140" i="6"/>
  <c r="F140" i="6" s="1"/>
  <c r="E141" i="6"/>
  <c r="F141" i="6" s="1"/>
  <c r="E142" i="6"/>
  <c r="F142" i="6" s="1"/>
  <c r="E143" i="6"/>
  <c r="F143" i="6" s="1"/>
  <c r="E144" i="6"/>
  <c r="F144" i="6" s="1"/>
  <c r="E145" i="6"/>
  <c r="F145" i="6" s="1"/>
  <c r="E146" i="6"/>
  <c r="F146" i="6" s="1"/>
  <c r="E147" i="6"/>
  <c r="F147" i="6" s="1"/>
  <c r="E148" i="6"/>
  <c r="F148" i="6" s="1"/>
  <c r="E149" i="6"/>
  <c r="F149" i="6" s="1"/>
  <c r="E150" i="6"/>
  <c r="F150" i="6" s="1"/>
  <c r="E151" i="6"/>
  <c r="F151" i="6" s="1"/>
  <c r="E152" i="6"/>
  <c r="F152" i="6" s="1"/>
  <c r="E153" i="6"/>
  <c r="F153" i="6" s="1"/>
  <c r="E154" i="6"/>
  <c r="F154" i="6" s="1"/>
  <c r="E155" i="6"/>
  <c r="F155" i="6" s="1"/>
  <c r="E156" i="6"/>
  <c r="F156" i="6" s="1"/>
  <c r="E157" i="6"/>
  <c r="F157" i="6" s="1"/>
  <c r="E158" i="6"/>
  <c r="F158" i="6" s="1"/>
  <c r="E159" i="6"/>
  <c r="F159" i="6" s="1"/>
  <c r="E160" i="6"/>
  <c r="F160" i="6" s="1"/>
  <c r="E161" i="6"/>
  <c r="F161" i="6" s="1"/>
  <c r="E162" i="6"/>
  <c r="F162" i="6" s="1"/>
  <c r="E163" i="6"/>
  <c r="F163" i="6" s="1"/>
  <c r="E164" i="6"/>
  <c r="F164" i="6" s="1"/>
  <c r="E165" i="6"/>
  <c r="F165" i="6" s="1"/>
  <c r="E166" i="6"/>
  <c r="F166" i="6" s="1"/>
  <c r="E167" i="6"/>
  <c r="F167" i="6" s="1"/>
  <c r="E168" i="6"/>
  <c r="F168" i="6" s="1"/>
  <c r="E169" i="6"/>
  <c r="F169" i="6" s="1"/>
  <c r="E170" i="6"/>
  <c r="F170" i="6" s="1"/>
  <c r="E171" i="6"/>
  <c r="F171" i="6" s="1"/>
  <c r="E172" i="6"/>
  <c r="F172" i="6" s="1"/>
  <c r="E173" i="6"/>
  <c r="F173" i="6" s="1"/>
  <c r="E174" i="6"/>
  <c r="F174" i="6" s="1"/>
  <c r="E175" i="6"/>
  <c r="F175" i="6" s="1"/>
  <c r="E176" i="6"/>
  <c r="F176" i="6" s="1"/>
  <c r="E177" i="6"/>
  <c r="F177" i="6" s="1"/>
  <c r="E178" i="6"/>
  <c r="F178" i="6" s="1"/>
  <c r="E179" i="6"/>
  <c r="F179" i="6" s="1"/>
  <c r="E180" i="6"/>
  <c r="F180" i="6" s="1"/>
  <c r="E181" i="6"/>
  <c r="F181" i="6" s="1"/>
  <c r="E182" i="6"/>
  <c r="F182" i="6" s="1"/>
  <c r="E183" i="6"/>
  <c r="F183" i="6" s="1"/>
  <c r="E184" i="6"/>
  <c r="F184" i="6" s="1"/>
  <c r="E185" i="6"/>
  <c r="F185" i="6" s="1"/>
  <c r="E186" i="6"/>
  <c r="F186" i="6" s="1"/>
  <c r="E187" i="6"/>
  <c r="F187" i="6" s="1"/>
  <c r="E188" i="6"/>
  <c r="F188" i="6" s="1"/>
  <c r="E189" i="6"/>
  <c r="F189" i="6" s="1"/>
  <c r="E190" i="6"/>
  <c r="F190" i="6" s="1"/>
  <c r="E191" i="6"/>
  <c r="F191" i="6" s="1"/>
  <c r="E192" i="6"/>
  <c r="F192" i="6" s="1"/>
  <c r="E193" i="6"/>
  <c r="F193" i="6" s="1"/>
  <c r="E194" i="6"/>
  <c r="F194" i="6" s="1"/>
  <c r="E195" i="6"/>
  <c r="F195" i="6" s="1"/>
  <c r="E196" i="6"/>
  <c r="F196" i="6" s="1"/>
  <c r="E197" i="6"/>
  <c r="F197" i="6" s="1"/>
  <c r="E198" i="6"/>
  <c r="F198" i="6" s="1"/>
  <c r="E199" i="6"/>
  <c r="F199" i="6" s="1"/>
  <c r="E200" i="6"/>
  <c r="F200" i="6" s="1"/>
  <c r="E201" i="6"/>
  <c r="F201" i="6" s="1"/>
  <c r="E202" i="6"/>
  <c r="F202" i="6" s="1"/>
  <c r="E203" i="6"/>
  <c r="F203" i="6" s="1"/>
  <c r="E204" i="6"/>
  <c r="F204" i="6" s="1"/>
  <c r="E205" i="6"/>
  <c r="F205" i="6" s="1"/>
  <c r="E206" i="6"/>
  <c r="F206" i="6" s="1"/>
  <c r="E207" i="6"/>
  <c r="F207" i="6" s="1"/>
  <c r="E208" i="6"/>
  <c r="F208" i="6" s="1"/>
  <c r="E209" i="6"/>
  <c r="F209" i="6" s="1"/>
  <c r="E210" i="6"/>
  <c r="F210" i="6" s="1"/>
  <c r="E211" i="6"/>
  <c r="F211" i="6" s="1"/>
  <c r="E212" i="6"/>
  <c r="F212" i="6" s="1"/>
  <c r="E213" i="6"/>
  <c r="F213" i="6" s="1"/>
  <c r="E214" i="6"/>
  <c r="F214" i="6" s="1"/>
  <c r="E215" i="6"/>
  <c r="F215" i="6" s="1"/>
  <c r="E216" i="6"/>
  <c r="F216" i="6" s="1"/>
  <c r="E217" i="6"/>
  <c r="F217" i="6" s="1"/>
  <c r="E218" i="6"/>
  <c r="F218" i="6" s="1"/>
  <c r="E219" i="6"/>
  <c r="F219" i="6" s="1"/>
  <c r="E220" i="6"/>
  <c r="F220" i="6" s="1"/>
  <c r="E221" i="6"/>
  <c r="F221" i="6" s="1"/>
  <c r="E222" i="6"/>
  <c r="F222" i="6" s="1"/>
  <c r="E223" i="6"/>
  <c r="F223" i="6" s="1"/>
  <c r="E224" i="6"/>
  <c r="F224" i="6" s="1"/>
  <c r="E225" i="6"/>
  <c r="F225" i="6" s="1"/>
  <c r="E226" i="6"/>
  <c r="F226" i="6" s="1"/>
  <c r="E227" i="6"/>
  <c r="F227" i="6" s="1"/>
  <c r="E228" i="6"/>
  <c r="F228" i="6" s="1"/>
  <c r="E229" i="6"/>
  <c r="F229" i="6" s="1"/>
  <c r="E230" i="6"/>
  <c r="F230" i="6" s="1"/>
  <c r="E231" i="6"/>
  <c r="F231" i="6" s="1"/>
  <c r="E232" i="6"/>
  <c r="F232" i="6" s="1"/>
  <c r="E233" i="6"/>
  <c r="F233" i="6" s="1"/>
  <c r="E234" i="6"/>
  <c r="F234" i="6" s="1"/>
  <c r="E235" i="6"/>
  <c r="F235" i="6" s="1"/>
  <c r="E236" i="6"/>
  <c r="F236" i="6" s="1"/>
  <c r="E237" i="6"/>
  <c r="F237" i="6" s="1"/>
  <c r="E238" i="6"/>
  <c r="F238" i="6" s="1"/>
  <c r="E239" i="6"/>
  <c r="F239" i="6" s="1"/>
  <c r="E240" i="6"/>
  <c r="F240" i="6" s="1"/>
  <c r="E241" i="6"/>
  <c r="F241" i="6" s="1"/>
  <c r="E242" i="6"/>
  <c r="F242" i="6" s="1"/>
  <c r="E243" i="6"/>
  <c r="F243" i="6" s="1"/>
  <c r="E244" i="6"/>
  <c r="F244" i="6" s="1"/>
  <c r="E245" i="6"/>
  <c r="F245" i="6" s="1"/>
  <c r="E246" i="6"/>
  <c r="F246" i="6" s="1"/>
  <c r="E247" i="6"/>
  <c r="F247" i="6" s="1"/>
  <c r="E248" i="6"/>
  <c r="F248" i="6" s="1"/>
  <c r="E249" i="6"/>
  <c r="F249" i="6" s="1"/>
  <c r="E250" i="6"/>
  <c r="F250" i="6" s="1"/>
  <c r="E251" i="6"/>
  <c r="F251" i="6" s="1"/>
  <c r="E252" i="6"/>
  <c r="F252" i="6" s="1"/>
  <c r="E253" i="6"/>
  <c r="F253" i="6" s="1"/>
  <c r="E254" i="6"/>
  <c r="F254" i="6" s="1"/>
  <c r="E255" i="6"/>
  <c r="F255" i="6" s="1"/>
  <c r="E256" i="6"/>
  <c r="F256" i="6" s="1"/>
  <c r="E257" i="6"/>
  <c r="F257" i="6" s="1"/>
  <c r="E258" i="6"/>
  <c r="F258" i="6" s="1"/>
  <c r="E259" i="6"/>
  <c r="F259" i="6" s="1"/>
  <c r="E260" i="6"/>
  <c r="F260" i="6" s="1"/>
  <c r="E261" i="6"/>
  <c r="F261" i="6" s="1"/>
  <c r="E262" i="6"/>
  <c r="F262" i="6" s="1"/>
  <c r="E263" i="6"/>
  <c r="F263" i="6" s="1"/>
  <c r="E264" i="6"/>
  <c r="F264" i="6" s="1"/>
  <c r="E265" i="6"/>
  <c r="F265" i="6" s="1"/>
  <c r="E266" i="6"/>
  <c r="F266" i="6" s="1"/>
  <c r="E267" i="6"/>
  <c r="F267" i="6" s="1"/>
  <c r="E268" i="6"/>
  <c r="F268" i="6" s="1"/>
  <c r="E269" i="6"/>
  <c r="F269" i="6" s="1"/>
  <c r="E270" i="6"/>
  <c r="F270" i="6" s="1"/>
  <c r="E271" i="6"/>
  <c r="F271" i="6" s="1"/>
  <c r="E272" i="6"/>
  <c r="F272" i="6" s="1"/>
  <c r="E273" i="6"/>
  <c r="F273" i="6" s="1"/>
  <c r="E274" i="6"/>
  <c r="F274" i="6" s="1"/>
  <c r="E275" i="6"/>
  <c r="F275" i="6" s="1"/>
  <c r="E276" i="6"/>
  <c r="F276" i="6" s="1"/>
  <c r="E277" i="6"/>
  <c r="F277" i="6" s="1"/>
  <c r="E278" i="6"/>
  <c r="F278" i="6" s="1"/>
  <c r="E279" i="6"/>
  <c r="F279" i="6" s="1"/>
  <c r="E280" i="6"/>
  <c r="F280" i="6" s="1"/>
  <c r="E281" i="6"/>
  <c r="F281" i="6" s="1"/>
  <c r="E282" i="6"/>
  <c r="F282" i="6" s="1"/>
  <c r="E283" i="6"/>
  <c r="F283" i="6" s="1"/>
  <c r="E284" i="6"/>
  <c r="F284" i="6" s="1"/>
  <c r="E285" i="6"/>
  <c r="F285" i="6" s="1"/>
  <c r="E286" i="6"/>
  <c r="F286" i="6" s="1"/>
  <c r="E287" i="6"/>
  <c r="F287" i="6" s="1"/>
  <c r="E288" i="6"/>
  <c r="F288" i="6" s="1"/>
  <c r="E289" i="6"/>
  <c r="F289" i="6" s="1"/>
  <c r="E290" i="6"/>
  <c r="F290" i="6" s="1"/>
  <c r="E291" i="6"/>
  <c r="F291" i="6" s="1"/>
  <c r="E292" i="6"/>
  <c r="F292" i="6" s="1"/>
  <c r="E293" i="6"/>
  <c r="F293" i="6" s="1"/>
  <c r="E294" i="6"/>
  <c r="F294" i="6" s="1"/>
  <c r="E295" i="6"/>
  <c r="F295" i="6" s="1"/>
  <c r="E296" i="6"/>
  <c r="F296" i="6" s="1"/>
  <c r="E297" i="6"/>
  <c r="F297" i="6" s="1"/>
  <c r="E298" i="6"/>
  <c r="F298" i="6" s="1"/>
  <c r="E299" i="6"/>
  <c r="F299" i="6" s="1"/>
  <c r="E300" i="6"/>
  <c r="F300" i="6" s="1"/>
  <c r="E301" i="6"/>
  <c r="F301" i="6" s="1"/>
  <c r="E302" i="6"/>
  <c r="F302" i="6" s="1"/>
  <c r="E303" i="6"/>
  <c r="F303" i="6" s="1"/>
  <c r="E304" i="6"/>
  <c r="F304" i="6" s="1"/>
  <c r="E305" i="6"/>
  <c r="F305" i="6" s="1"/>
  <c r="E306" i="6"/>
  <c r="F306" i="6" s="1"/>
  <c r="E307" i="6"/>
  <c r="F307" i="6" s="1"/>
  <c r="E308" i="6"/>
  <c r="F308" i="6" s="1"/>
  <c r="E309" i="6"/>
  <c r="F309" i="6" s="1"/>
  <c r="E310" i="6"/>
  <c r="F310" i="6" s="1"/>
  <c r="E311" i="6"/>
  <c r="F311" i="6" s="1"/>
  <c r="E312" i="6"/>
  <c r="F312" i="6" s="1"/>
  <c r="E313" i="6"/>
  <c r="F313" i="6" s="1"/>
  <c r="E314" i="6"/>
  <c r="F314" i="6" s="1"/>
  <c r="E315" i="6"/>
  <c r="F315" i="6" s="1"/>
  <c r="E316" i="6"/>
  <c r="F316" i="6" s="1"/>
  <c r="E317" i="6"/>
  <c r="F317" i="6" s="1"/>
  <c r="E318" i="6"/>
  <c r="F318" i="6" s="1"/>
  <c r="E319" i="6"/>
  <c r="F319" i="6" s="1"/>
  <c r="E320" i="6"/>
  <c r="F320" i="6" s="1"/>
  <c r="E321" i="6"/>
  <c r="F321" i="6" s="1"/>
  <c r="E322" i="6"/>
  <c r="F322" i="6" s="1"/>
  <c r="E323" i="6"/>
  <c r="F323" i="6" s="1"/>
  <c r="E324" i="6"/>
  <c r="F324" i="6" s="1"/>
  <c r="E325" i="6"/>
  <c r="F325" i="6" s="1"/>
  <c r="E326" i="6"/>
  <c r="F326" i="6" s="1"/>
  <c r="E327" i="6"/>
  <c r="F327" i="6" s="1"/>
  <c r="E328" i="6"/>
  <c r="F328" i="6" s="1"/>
  <c r="E329" i="6"/>
  <c r="F329" i="6" s="1"/>
  <c r="E330" i="6"/>
  <c r="F330" i="6" s="1"/>
  <c r="E331" i="6"/>
  <c r="F331" i="6" s="1"/>
  <c r="E332" i="6"/>
  <c r="F332" i="6" s="1"/>
  <c r="E3" i="6"/>
  <c r="F3" i="6" s="1"/>
  <c r="L32" i="3" l="1"/>
  <c r="H78" i="3"/>
  <c r="H90" i="3"/>
  <c r="H89" i="3"/>
  <c r="H88" i="3"/>
  <c r="H87" i="3"/>
  <c r="H86" i="3"/>
  <c r="H85" i="3"/>
  <c r="H77" i="3"/>
  <c r="H76" i="3"/>
  <c r="H75" i="3"/>
  <c r="H74" i="3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7" i="1"/>
  <c r="I8" i="1"/>
  <c r="I3" i="1"/>
  <c r="I4" i="1"/>
  <c r="I5" i="1"/>
  <c r="I6" i="1"/>
  <c r="I2" i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" i="6"/>
  <c r="I4" i="3"/>
  <c r="H14" i="1"/>
  <c r="H15" i="1"/>
  <c r="H16" i="1"/>
  <c r="H17" i="1"/>
  <c r="H18" i="1"/>
  <c r="H19" i="1"/>
  <c r="H20" i="1"/>
  <c r="H21" i="1"/>
  <c r="H22" i="1"/>
  <c r="H23" i="1"/>
  <c r="H24" i="1"/>
  <c r="H25" i="1"/>
  <c r="H9" i="1"/>
  <c r="H10" i="1"/>
  <c r="H11" i="1"/>
  <c r="H12" i="1"/>
  <c r="H13" i="1"/>
  <c r="H7" i="1"/>
  <c r="H8" i="1"/>
  <c r="H4" i="1"/>
  <c r="H5" i="1"/>
  <c r="H6" i="1"/>
  <c r="M32" i="3" l="1"/>
  <c r="L33" i="3"/>
  <c r="H3" i="1"/>
  <c r="H2" i="1"/>
  <c r="L34" i="3" l="1"/>
  <c r="M33" i="3"/>
  <c r="I5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L35" i="3" l="1"/>
  <c r="M34" i="3"/>
  <c r="I6" i="3"/>
  <c r="I7" i="3" s="1"/>
  <c r="L36" i="3" l="1"/>
  <c r="M35" i="3"/>
  <c r="I8" i="3"/>
  <c r="L37" i="3" l="1"/>
  <c r="M36" i="3"/>
  <c r="I9" i="3"/>
  <c r="I10" i="3" s="1"/>
  <c r="L38" i="3" l="1"/>
  <c r="M37" i="3"/>
  <c r="I11" i="3"/>
  <c r="L39" i="3" l="1"/>
  <c r="M38" i="3"/>
  <c r="I12" i="3"/>
  <c r="I13" i="3" s="1"/>
  <c r="L40" i="3" l="1"/>
  <c r="M39" i="3"/>
  <c r="I14" i="3"/>
  <c r="J12" i="3" s="1"/>
  <c r="L41" i="3" l="1"/>
  <c r="M40" i="3"/>
  <c r="J14" i="3"/>
  <c r="J4" i="3"/>
  <c r="J7" i="3"/>
  <c r="J5" i="3"/>
  <c r="J6" i="3"/>
  <c r="J8" i="3"/>
  <c r="J10" i="3"/>
  <c r="J9" i="3"/>
  <c r="J11" i="3"/>
  <c r="J13" i="3"/>
  <c r="M41" i="3" l="1"/>
  <c r="M31" i="3"/>
</calcChain>
</file>

<file path=xl/sharedStrings.xml><?xml version="1.0" encoding="utf-8"?>
<sst xmlns="http://schemas.openxmlformats.org/spreadsheetml/2006/main" count="749" uniqueCount="132">
  <si>
    <t>Name</t>
  </si>
  <si>
    <t>Date</t>
  </si>
  <si>
    <t>Expiry</t>
  </si>
  <si>
    <t>Qty</t>
  </si>
  <si>
    <t>Amount</t>
  </si>
  <si>
    <t>Hepdoz-ds-SYP</t>
  </si>
  <si>
    <t>NEO-LEEKUF TAB</t>
  </si>
  <si>
    <t>Limtonezyme DS SYP</t>
  </si>
  <si>
    <t>Rate</t>
  </si>
  <si>
    <t>NEUROLLEN-PLUS CAP</t>
  </si>
  <si>
    <t>Supplier</t>
  </si>
  <si>
    <t>Rampal</t>
  </si>
  <si>
    <t>Ashoka</t>
  </si>
  <si>
    <t>Chintpurni</t>
  </si>
  <si>
    <t>LET LC TAB</t>
  </si>
  <si>
    <t>Category</t>
  </si>
  <si>
    <t>HEPDOZ-DS-SYP</t>
  </si>
  <si>
    <t>NIMBRA PLUS DL</t>
  </si>
  <si>
    <t>RABISUN-DSR CAP</t>
  </si>
  <si>
    <t xml:space="preserve">AUGCLAV-LB </t>
  </si>
  <si>
    <t>NIMBRA PLUS G TAB</t>
  </si>
  <si>
    <t>ELDERVIT-SG CAP</t>
  </si>
  <si>
    <t>Row Labels</t>
  </si>
  <si>
    <t>Grand Total</t>
  </si>
  <si>
    <t>Type</t>
  </si>
  <si>
    <t>Medicinal</t>
  </si>
  <si>
    <t>Digestive aids</t>
  </si>
  <si>
    <t>Cold and Flu remedies</t>
  </si>
  <si>
    <t>Pain reliever</t>
  </si>
  <si>
    <t>Antibiotics</t>
  </si>
  <si>
    <t>Supplements and Vitamins</t>
  </si>
  <si>
    <t>Skin Care</t>
  </si>
  <si>
    <t>Non-Medicinal</t>
  </si>
  <si>
    <t>Head and Shoulder 650ml</t>
  </si>
  <si>
    <t>Indulekha Hair Oil 100ml</t>
  </si>
  <si>
    <t>Listerine Mouthwash 250ml</t>
  </si>
  <si>
    <t>Units Sold</t>
  </si>
  <si>
    <t>Toothpastes</t>
  </si>
  <si>
    <t>Vaseline 100ml</t>
  </si>
  <si>
    <t>Boroline 20g</t>
  </si>
  <si>
    <t>Pampers Diapers Pack</t>
  </si>
  <si>
    <t>Johnson's Baby Powder 100g</t>
  </si>
  <si>
    <t>Dettol Soap 100g</t>
  </si>
  <si>
    <t>Bournvita 550g</t>
  </si>
  <si>
    <t>Horlicks 500g</t>
  </si>
  <si>
    <t>Product Name</t>
  </si>
  <si>
    <t>Hair Care</t>
  </si>
  <si>
    <t>Oral Care</t>
  </si>
  <si>
    <t>Baby and Child Care</t>
  </si>
  <si>
    <t>Hygiene</t>
  </si>
  <si>
    <t>Nutritional powders</t>
  </si>
  <si>
    <t>Revenue</t>
  </si>
  <si>
    <t>Sum of Revenue</t>
  </si>
  <si>
    <t>Cumulative Revenue</t>
  </si>
  <si>
    <t>Percentage</t>
  </si>
  <si>
    <t>Sum of units sold</t>
  </si>
  <si>
    <t>Sum of revenue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</si>
  <si>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</si>
  <si>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</si>
  <si>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</si>
  <si>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</si>
  <si>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</si>
  <si>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</si>
  <si>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</si>
  <si>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</si>
  <si>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</si>
  <si>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</si>
  <si>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</si>
  <si>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</si>
  <si>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</si>
  <si>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</si>
  <si>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</si>
  <si>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</si>
  <si>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</si>
  <si>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</si>
  <si>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</si>
  <si>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</si>
  <si>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</si>
  <si>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</si>
  <si>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</si>
  <si>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</si>
  <si>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</si>
  <si>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</si>
  <si>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</si>
  <si>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</si>
  <si>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</si>
  <si>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</si>
  <si>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</si>
  <si>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</si>
  <si>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</si>
  <si>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</si>
  <si>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</si>
  <si>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</si>
  <si>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</si>
  <si>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</si>
  <si>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Sum of units sols</t>
  </si>
  <si>
    <t>Sum of Amount</t>
  </si>
  <si>
    <t>Sum of amount spent</t>
  </si>
  <si>
    <t>Cold and Flu</t>
  </si>
  <si>
    <t>Digestive Aids</t>
  </si>
  <si>
    <t>Supplements and vitamins</t>
  </si>
  <si>
    <t>Cost</t>
  </si>
  <si>
    <t>Selling Price</t>
  </si>
  <si>
    <t>Shelf Life left after purchase</t>
  </si>
  <si>
    <t>Mean</t>
  </si>
  <si>
    <t>Min</t>
  </si>
  <si>
    <t>Max</t>
  </si>
  <si>
    <t>Std Deviation</t>
  </si>
  <si>
    <t>Variance</t>
  </si>
  <si>
    <t>For  Daywise Volume</t>
  </si>
  <si>
    <t>Skewness</t>
  </si>
  <si>
    <t>Right-skewed</t>
  </si>
  <si>
    <t>Avg Selling Price</t>
  </si>
  <si>
    <t>Sum</t>
  </si>
  <si>
    <t>Average</t>
  </si>
  <si>
    <t>Running Total</t>
  </si>
  <si>
    <t>Count</t>
  </si>
  <si>
    <t xml:space="preserve">Supplier </t>
  </si>
  <si>
    <t>Frequency of purchase</t>
  </si>
  <si>
    <t>Total amount spent</t>
  </si>
  <si>
    <t>Average shelf life left</t>
  </si>
  <si>
    <t>ABC analysis</t>
  </si>
  <si>
    <t>Profit</t>
  </si>
  <si>
    <t>Value</t>
  </si>
  <si>
    <t>Index</t>
  </si>
  <si>
    <t>For Daywise Revenue</t>
  </si>
  <si>
    <t>Total Amount spent</t>
  </si>
  <si>
    <t>For amount spent</t>
  </si>
  <si>
    <t>Left skewed</t>
  </si>
  <si>
    <t>Cumulative revenue</t>
  </si>
  <si>
    <t>Product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</si>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</sst>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"/>
    <numFmt numFmtId="173" formatCode="0.000"/>
  </numFmts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9" fontId="6" fillId="0" borderId="0" applyFont="0" applyFill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1" applyFont="1"/>
    <xf numFmtId="0" fontId="2" fillId="5" borderId="1" xfId="0" applyFont="1" applyFill="1" applyBorder="1"/>
    <xf numFmtId="0" fontId="2" fillId="5" borderId="2" xfId="0" applyNumberFormat="1" applyFont="1" applyFill="1" applyBorder="1"/>
    <xf numFmtId="2" fontId="0" fillId="0" borderId="0" xfId="0" applyNumberFormat="1"/>
    <xf numFmtId="0" fontId="2" fillId="2" borderId="0" xfId="1" applyFont="1" applyAlignment="1">
      <alignment horizontal="left"/>
    </xf>
    <xf numFmtId="14" fontId="0" fillId="0" borderId="0" xfId="0" applyNumberFormat="1" applyAlignment="1">
      <alignment horizontal="left"/>
    </xf>
    <xf numFmtId="0" fontId="3" fillId="2" borderId="0" xfId="1" applyFont="1" applyAlignment="1">
      <alignment horizontal="left"/>
    </xf>
    <xf numFmtId="14" fontId="2" fillId="2" borderId="0" xfId="1" applyNumberFormat="1" applyFont="1" applyAlignment="1">
      <alignment horizontal="left"/>
    </xf>
    <xf numFmtId="0" fontId="2" fillId="2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5" borderId="0" xfId="0" applyFont="1" applyFill="1" applyBorder="1"/>
    <xf numFmtId="0" fontId="3" fillId="3" borderId="0" xfId="2" applyFont="1" applyAlignment="1">
      <alignment horizontal="left"/>
    </xf>
    <xf numFmtId="0" fontId="3" fillId="3" borderId="0" xfId="2" applyFont="1"/>
    <xf numFmtId="14" fontId="0" fillId="0" borderId="0" xfId="0" applyNumberFormat="1" applyAlignment="1">
      <alignment horizontal="left" indent="1"/>
    </xf>
    <xf numFmtId="14" fontId="3" fillId="3" borderId="0" xfId="2" applyNumberFormat="1" applyFont="1" applyAlignment="1">
      <alignment horizontal="left" indent="1"/>
    </xf>
    <xf numFmtId="14" fontId="2" fillId="5" borderId="2" xfId="0" applyNumberFormat="1" applyFont="1" applyFill="1" applyBorder="1" applyAlignment="1">
      <alignment horizontal="left"/>
    </xf>
    <xf numFmtId="0" fontId="3" fillId="4" borderId="0" xfId="3" applyFont="1"/>
    <xf numFmtId="0" fontId="2" fillId="3" borderId="0" xfId="2" applyFont="1"/>
    <xf numFmtId="0" fontId="2" fillId="3" borderId="0" xfId="2" applyFont="1" applyAlignment="1">
      <alignment horizontal="left"/>
    </xf>
    <xf numFmtId="0" fontId="2" fillId="4" borderId="0" xfId="3" applyFont="1"/>
    <xf numFmtId="0" fontId="6" fillId="8" borderId="0" xfId="7"/>
    <xf numFmtId="0" fontId="6" fillId="9" borderId="0" xfId="8"/>
    <xf numFmtId="14" fontId="2" fillId="4" borderId="0" xfId="3" applyNumberFormat="1" applyFont="1" applyAlignment="1">
      <alignment horizontal="left"/>
    </xf>
    <xf numFmtId="14" fontId="6" fillId="7" borderId="0" xfId="6" applyNumberFormat="1" applyAlignment="1">
      <alignment horizontal="left"/>
    </xf>
    <xf numFmtId="0" fontId="6" fillId="7" borderId="0" xfId="6"/>
    <xf numFmtId="172" fontId="6" fillId="9" borderId="0" xfId="8" applyNumberFormat="1"/>
    <xf numFmtId="173" fontId="6" fillId="9" borderId="0" xfId="8" applyNumberFormat="1"/>
    <xf numFmtId="2" fontId="6" fillId="9" borderId="0" xfId="8" applyNumberFormat="1"/>
    <xf numFmtId="0" fontId="2" fillId="6" borderId="0" xfId="5" applyFont="1"/>
    <xf numFmtId="9" fontId="2" fillId="6" borderId="0" xfId="4" applyFont="1" applyFill="1"/>
    <xf numFmtId="9" fontId="0" fillId="0" borderId="0" xfId="4" applyFont="1"/>
  </cellXfs>
  <cellStyles count="9">
    <cellStyle name="20% - Accent1" xfId="5" builtinId="30"/>
    <cellStyle name="20% - Accent3" xfId="8" builtinId="38"/>
    <cellStyle name="40% - Accent1" xfId="6" builtinId="31"/>
    <cellStyle name="60% - Accent1" xfId="7" builtinId="32"/>
    <cellStyle name="Bad" xfId="3" builtinId="27"/>
    <cellStyle name="Good" xfId="2" builtinId="26"/>
    <cellStyle name="Neutral" xfId="1" builtinId="28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'Non med analysis'!$H$19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D6-4940-AA57-D251310FE9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D6-4940-AA57-D251310FE9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D6-4940-AA57-D251310FE9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D6-4940-AA57-D251310FE90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D6-4940-AA57-D251310FE90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D6-4940-AA57-D251310FE901}"/>
              </c:ext>
            </c:extLst>
          </c:dPt>
          <c:cat>
            <c:strRef>
              <c:f>'Non med analysis'!$G$20:$G$25</c:f>
              <c:strCache>
                <c:ptCount val="6"/>
                <c:pt idx="0">
                  <c:v>Hair Care</c:v>
                </c:pt>
                <c:pt idx="1">
                  <c:v>Nutritional powders</c:v>
                </c:pt>
                <c:pt idx="2">
                  <c:v>Baby and Child Care</c:v>
                </c:pt>
                <c:pt idx="3">
                  <c:v>Oral Care</c:v>
                </c:pt>
                <c:pt idx="4">
                  <c:v>Hygiene</c:v>
                </c:pt>
                <c:pt idx="5">
                  <c:v>Skin Care</c:v>
                </c:pt>
              </c:strCache>
            </c:strRef>
          </c:cat>
          <c:val>
            <c:numRef>
              <c:f>'Non med analysis'!$H$20:$H$25</c:f>
              <c:numCache>
                <c:formatCode>General</c:formatCode>
                <c:ptCount val="6"/>
                <c:pt idx="0">
                  <c:v>6912</c:v>
                </c:pt>
                <c:pt idx="1">
                  <c:v>6237</c:v>
                </c:pt>
                <c:pt idx="2">
                  <c:v>2760</c:v>
                </c:pt>
                <c:pt idx="3">
                  <c:v>1780</c:v>
                </c:pt>
                <c:pt idx="4">
                  <c:v>1450</c:v>
                </c:pt>
                <c:pt idx="5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7-4E61-A835-06AFBD08F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859580052493441E-2"/>
          <c:y val="0.15319444444444447"/>
          <c:w val="0.89481058617672793"/>
          <c:h val="0.64426837270341208"/>
        </c:manualLayout>
      </c:layout>
      <c:lineChart>
        <c:grouping val="standard"/>
        <c:varyColors val="0"/>
        <c:ser>
          <c:idx val="0"/>
          <c:order val="0"/>
          <c:tx>
            <c:strRef>
              <c:f>'Non med analysis'!$H$28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'Non med analysis'!$G$29:$G$58</c:f>
              <c:strCache>
                <c:ptCount val="30"/>
                <c:pt idx="0">
                  <c:v>20-May</c:v>
                </c:pt>
                <c:pt idx="1">
                  <c:v>21-May</c:v>
                </c:pt>
                <c:pt idx="2">
                  <c:v>22-May</c:v>
                </c:pt>
                <c:pt idx="3">
                  <c:v>23-May</c:v>
                </c:pt>
                <c:pt idx="4">
                  <c:v>24-May</c:v>
                </c:pt>
                <c:pt idx="5">
                  <c:v>25-May</c:v>
                </c:pt>
                <c:pt idx="6">
                  <c:v>26-May</c:v>
                </c:pt>
                <c:pt idx="7">
                  <c:v>27-May</c:v>
                </c:pt>
                <c:pt idx="8">
                  <c:v>28-May</c:v>
                </c:pt>
                <c:pt idx="9">
                  <c:v>29-May</c:v>
                </c:pt>
                <c:pt idx="10">
                  <c:v>30-May</c:v>
                </c:pt>
                <c:pt idx="11">
                  <c:v>31-May</c:v>
                </c:pt>
                <c:pt idx="12">
                  <c:v>01-Jun</c:v>
                </c:pt>
                <c:pt idx="13">
                  <c:v>02-Jun</c:v>
                </c:pt>
                <c:pt idx="14">
                  <c:v>03-Jun</c:v>
                </c:pt>
                <c:pt idx="15">
                  <c:v>04-Jun</c:v>
                </c:pt>
                <c:pt idx="16">
                  <c:v>05-Jun</c:v>
                </c:pt>
                <c:pt idx="17">
                  <c:v>06-Jun</c:v>
                </c:pt>
                <c:pt idx="18">
                  <c:v>07-Jun</c:v>
                </c:pt>
                <c:pt idx="19">
                  <c:v>08-Jun</c:v>
                </c:pt>
                <c:pt idx="20">
                  <c:v>09-Jun</c:v>
                </c:pt>
                <c:pt idx="21">
                  <c:v>10-Jun</c:v>
                </c:pt>
                <c:pt idx="22">
                  <c:v>11-Jun</c:v>
                </c:pt>
                <c:pt idx="23">
                  <c:v>12-Jun</c:v>
                </c:pt>
                <c:pt idx="24">
                  <c:v>13-Jun</c:v>
                </c:pt>
                <c:pt idx="25">
                  <c:v>14-Jun</c:v>
                </c:pt>
                <c:pt idx="26">
                  <c:v>15-Jun</c:v>
                </c:pt>
                <c:pt idx="27">
                  <c:v>16-Jun</c:v>
                </c:pt>
                <c:pt idx="28">
                  <c:v>17-Jun</c:v>
                </c:pt>
                <c:pt idx="29">
                  <c:v>18-Jun</c:v>
                </c:pt>
              </c:strCache>
            </c:strRef>
          </c:cat>
          <c:val>
            <c:numRef>
              <c:f>'Non med analysis'!$H$29:$H$58</c:f>
              <c:numCache>
                <c:formatCode>General</c:formatCode>
                <c:ptCount val="30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1</c:v>
                </c:pt>
                <c:pt idx="12">
                  <c:v>9</c:v>
                </c:pt>
                <c:pt idx="13">
                  <c:v>9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6</c:v>
                </c:pt>
                <c:pt idx="24">
                  <c:v>6</c:v>
                </c:pt>
                <c:pt idx="25">
                  <c:v>8</c:v>
                </c:pt>
                <c:pt idx="26">
                  <c:v>4</c:v>
                </c:pt>
                <c:pt idx="27">
                  <c:v>5</c:v>
                </c:pt>
                <c:pt idx="28">
                  <c:v>10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2-40A7-8FB6-8F8F0125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012031"/>
        <c:axId val="1559632943"/>
      </c:lineChart>
      <c:catAx>
        <c:axId val="1376012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5930643044619435"/>
              <c:y val="0.92497666958296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32943"/>
        <c:crosses val="autoZero"/>
        <c:auto val="1"/>
        <c:lblAlgn val="ctr"/>
        <c:lblOffset val="100"/>
        <c:noMultiLvlLbl val="0"/>
      </c:catAx>
      <c:valAx>
        <c:axId val="155963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  <a:r>
                  <a:rPr lang="en-IN" baseline="0"/>
                  <a:t>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1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 med analysis'!$H$60</c:f>
              <c:strCache>
                <c:ptCount val="1"/>
                <c:pt idx="0">
                  <c:v>Sum of 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'Non med analysis'!$G$61:$G$67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'Non med analysis'!$H$61:$H$67</c:f>
              <c:numCache>
                <c:formatCode>General</c:formatCode>
                <c:ptCount val="7"/>
                <c:pt idx="0">
                  <c:v>27</c:v>
                </c:pt>
                <c:pt idx="1">
                  <c:v>28</c:v>
                </c:pt>
                <c:pt idx="2">
                  <c:v>30</c:v>
                </c:pt>
                <c:pt idx="3">
                  <c:v>17</c:v>
                </c:pt>
                <c:pt idx="4">
                  <c:v>20</c:v>
                </c:pt>
                <c:pt idx="5">
                  <c:v>18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D-405B-886C-C1AF2FC04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653679"/>
        <c:axId val="1566520335"/>
      </c:lineChart>
      <c:catAx>
        <c:axId val="15596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20335"/>
        <c:crosses val="autoZero"/>
        <c:auto val="1"/>
        <c:lblAlgn val="ctr"/>
        <c:lblOffset val="100"/>
        <c:noMultiLvlLbl val="0"/>
      </c:catAx>
      <c:valAx>
        <c:axId val="15665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Data.xlsx]Non med analysis!PivotTable39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'Non med analysis'!$B$14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'Non med analysis'!$A$15:$A$26</c:f>
              <c:strCache>
                <c:ptCount val="11"/>
                <c:pt idx="0">
                  <c:v>Boroline 20g</c:v>
                </c:pt>
                <c:pt idx="1">
                  <c:v>Bournvita 550g</c:v>
                </c:pt>
                <c:pt idx="2">
                  <c:v>Dettol Soap 100g</c:v>
                </c:pt>
                <c:pt idx="3">
                  <c:v>Head and Shoulder 650ml</c:v>
                </c:pt>
                <c:pt idx="4">
                  <c:v>Horlicks 500g</c:v>
                </c:pt>
                <c:pt idx="5">
                  <c:v>Indulekha Hair Oil 100ml</c:v>
                </c:pt>
                <c:pt idx="6">
                  <c:v>Johnson's Baby Powder 100g</c:v>
                </c:pt>
                <c:pt idx="7">
                  <c:v>Listerine Mouthwash 250ml</c:v>
                </c:pt>
                <c:pt idx="8">
                  <c:v>Pampers Diapers Pack</c:v>
                </c:pt>
                <c:pt idx="9">
                  <c:v>Toothpastes</c:v>
                </c:pt>
                <c:pt idx="10">
                  <c:v>Vaseline 100ml</c:v>
                </c:pt>
              </c:strCache>
            </c:strRef>
          </c:cat>
          <c:val>
            <c:numRef>
              <c:f>'Non med analysis'!$B$15:$B$26</c:f>
              <c:numCache>
                <c:formatCode>General</c:formatCode>
                <c:ptCount val="11"/>
                <c:pt idx="0">
                  <c:v>210</c:v>
                </c:pt>
                <c:pt idx="1">
                  <c:v>3000</c:v>
                </c:pt>
                <c:pt idx="2">
                  <c:v>1450</c:v>
                </c:pt>
                <c:pt idx="3">
                  <c:v>4680</c:v>
                </c:pt>
                <c:pt idx="4">
                  <c:v>3237</c:v>
                </c:pt>
                <c:pt idx="5">
                  <c:v>2232</c:v>
                </c:pt>
                <c:pt idx="6">
                  <c:v>1200</c:v>
                </c:pt>
                <c:pt idx="7">
                  <c:v>400</c:v>
                </c:pt>
                <c:pt idx="8">
                  <c:v>1560</c:v>
                </c:pt>
                <c:pt idx="9">
                  <c:v>1380</c:v>
                </c:pt>
                <c:pt idx="10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7D-418F-8BF1-4831AA845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874991"/>
        <c:axId val="1437838911"/>
      </c:lineChart>
      <c:catAx>
        <c:axId val="19998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38911"/>
        <c:crosses val="autoZero"/>
        <c:auto val="1"/>
        <c:lblAlgn val="ctr"/>
        <c:lblOffset val="100"/>
        <c:noMultiLvlLbl val="0"/>
      </c:catAx>
      <c:valAx>
        <c:axId val="14378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7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wise</a:t>
            </a:r>
            <a:r>
              <a:rPr lang="en-US"/>
              <a:t>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 med analysis'!$B$50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'Non med analysis'!$A$51:$A$80</c:f>
              <c:strCache>
                <c:ptCount val="30"/>
                <c:pt idx="0">
                  <c:v>20-May</c:v>
                </c:pt>
                <c:pt idx="1">
                  <c:v>21-May</c:v>
                </c:pt>
                <c:pt idx="2">
                  <c:v>22-May</c:v>
                </c:pt>
                <c:pt idx="3">
                  <c:v>23-May</c:v>
                </c:pt>
                <c:pt idx="4">
                  <c:v>24-May</c:v>
                </c:pt>
                <c:pt idx="5">
                  <c:v>25-May</c:v>
                </c:pt>
                <c:pt idx="6">
                  <c:v>26-May</c:v>
                </c:pt>
                <c:pt idx="7">
                  <c:v>27-May</c:v>
                </c:pt>
                <c:pt idx="8">
                  <c:v>28-May</c:v>
                </c:pt>
                <c:pt idx="9">
                  <c:v>29-May</c:v>
                </c:pt>
                <c:pt idx="10">
                  <c:v>30-May</c:v>
                </c:pt>
                <c:pt idx="11">
                  <c:v>31-May</c:v>
                </c:pt>
                <c:pt idx="12">
                  <c:v>01-Jun</c:v>
                </c:pt>
                <c:pt idx="13">
                  <c:v>02-Jun</c:v>
                </c:pt>
                <c:pt idx="14">
                  <c:v>03-Jun</c:v>
                </c:pt>
                <c:pt idx="15">
                  <c:v>04-Jun</c:v>
                </c:pt>
                <c:pt idx="16">
                  <c:v>05-Jun</c:v>
                </c:pt>
                <c:pt idx="17">
                  <c:v>06-Jun</c:v>
                </c:pt>
                <c:pt idx="18">
                  <c:v>07-Jun</c:v>
                </c:pt>
                <c:pt idx="19">
                  <c:v>08-Jun</c:v>
                </c:pt>
                <c:pt idx="20">
                  <c:v>09-Jun</c:v>
                </c:pt>
                <c:pt idx="21">
                  <c:v>10-Jun</c:v>
                </c:pt>
                <c:pt idx="22">
                  <c:v>11-Jun</c:v>
                </c:pt>
                <c:pt idx="23">
                  <c:v>12-Jun</c:v>
                </c:pt>
                <c:pt idx="24">
                  <c:v>13-Jun</c:v>
                </c:pt>
                <c:pt idx="25">
                  <c:v>14-Jun</c:v>
                </c:pt>
                <c:pt idx="26">
                  <c:v>15-Jun</c:v>
                </c:pt>
                <c:pt idx="27">
                  <c:v>16-Jun</c:v>
                </c:pt>
                <c:pt idx="28">
                  <c:v>17-Jun</c:v>
                </c:pt>
                <c:pt idx="29">
                  <c:v>18-Jun</c:v>
                </c:pt>
              </c:strCache>
            </c:strRef>
          </c:cat>
          <c:val>
            <c:numRef>
              <c:f>'Non med analysis'!$B$51:$B$80</c:f>
              <c:numCache>
                <c:formatCode>General</c:formatCode>
                <c:ptCount val="30"/>
                <c:pt idx="0">
                  <c:v>995</c:v>
                </c:pt>
                <c:pt idx="1">
                  <c:v>60</c:v>
                </c:pt>
                <c:pt idx="2">
                  <c:v>462</c:v>
                </c:pt>
                <c:pt idx="3">
                  <c:v>300</c:v>
                </c:pt>
                <c:pt idx="4">
                  <c:v>275</c:v>
                </c:pt>
                <c:pt idx="5">
                  <c:v>592</c:v>
                </c:pt>
                <c:pt idx="6">
                  <c:v>1266</c:v>
                </c:pt>
                <c:pt idx="7">
                  <c:v>635</c:v>
                </c:pt>
                <c:pt idx="8">
                  <c:v>470</c:v>
                </c:pt>
                <c:pt idx="9">
                  <c:v>1016</c:v>
                </c:pt>
                <c:pt idx="10">
                  <c:v>546</c:v>
                </c:pt>
                <c:pt idx="11">
                  <c:v>570</c:v>
                </c:pt>
                <c:pt idx="12">
                  <c:v>685</c:v>
                </c:pt>
                <c:pt idx="13">
                  <c:v>1112</c:v>
                </c:pt>
                <c:pt idx="14">
                  <c:v>1235</c:v>
                </c:pt>
                <c:pt idx="15">
                  <c:v>348</c:v>
                </c:pt>
                <c:pt idx="16">
                  <c:v>369</c:v>
                </c:pt>
                <c:pt idx="17">
                  <c:v>671</c:v>
                </c:pt>
                <c:pt idx="18">
                  <c:v>349</c:v>
                </c:pt>
                <c:pt idx="19">
                  <c:v>856</c:v>
                </c:pt>
                <c:pt idx="20">
                  <c:v>763</c:v>
                </c:pt>
                <c:pt idx="21">
                  <c:v>455</c:v>
                </c:pt>
                <c:pt idx="22">
                  <c:v>85</c:v>
                </c:pt>
                <c:pt idx="23">
                  <c:v>995</c:v>
                </c:pt>
                <c:pt idx="24">
                  <c:v>963</c:v>
                </c:pt>
                <c:pt idx="25">
                  <c:v>390</c:v>
                </c:pt>
                <c:pt idx="26">
                  <c:v>1220</c:v>
                </c:pt>
                <c:pt idx="27">
                  <c:v>1047</c:v>
                </c:pt>
                <c:pt idx="28">
                  <c:v>1259</c:v>
                </c:pt>
                <c:pt idx="29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1-48D6-B7D2-3DC4B0075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485295"/>
        <c:axId val="1443697167"/>
      </c:lineChart>
      <c:catAx>
        <c:axId val="209048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97167"/>
        <c:crosses val="autoZero"/>
        <c:auto val="1"/>
        <c:lblAlgn val="ctr"/>
        <c:lblOffset val="100"/>
        <c:noMultiLvlLbl val="0"/>
      </c:catAx>
      <c:valAx>
        <c:axId val="14436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8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Date</a:t>
            </a:r>
            <a:r>
              <a:rPr lang="en-IN" baseline="0"/>
              <a:t> </a:t>
            </a:r>
            <a:r>
              <a:rPr lang="en-IN"/>
              <a:t>wise</a:t>
            </a:r>
            <a:r>
              <a:rPr lang="en-IN" baseline="0"/>
              <a:t> </a:t>
            </a:r>
            <a:r>
              <a:rPr lang="en-IN"/>
              <a:t>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 med analysis'!$S$3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'Non med analysis'!$R$4:$R$33</c:f>
              <c:strCache>
                <c:ptCount val="30"/>
                <c:pt idx="0">
                  <c:v>20-May</c:v>
                </c:pt>
                <c:pt idx="1">
                  <c:v>21-May</c:v>
                </c:pt>
                <c:pt idx="2">
                  <c:v>22-May</c:v>
                </c:pt>
                <c:pt idx="3">
                  <c:v>23-May</c:v>
                </c:pt>
                <c:pt idx="4">
                  <c:v>24-May</c:v>
                </c:pt>
                <c:pt idx="5">
                  <c:v>25-May</c:v>
                </c:pt>
                <c:pt idx="6">
                  <c:v>26-May</c:v>
                </c:pt>
                <c:pt idx="7">
                  <c:v>27-May</c:v>
                </c:pt>
                <c:pt idx="8">
                  <c:v>28-May</c:v>
                </c:pt>
                <c:pt idx="9">
                  <c:v>29-May</c:v>
                </c:pt>
                <c:pt idx="10">
                  <c:v>30-May</c:v>
                </c:pt>
                <c:pt idx="11">
                  <c:v>31-May</c:v>
                </c:pt>
                <c:pt idx="12">
                  <c:v>01-Jun</c:v>
                </c:pt>
                <c:pt idx="13">
                  <c:v>02-Jun</c:v>
                </c:pt>
                <c:pt idx="14">
                  <c:v>03-Jun</c:v>
                </c:pt>
                <c:pt idx="15">
                  <c:v>04-Jun</c:v>
                </c:pt>
                <c:pt idx="16">
                  <c:v>05-Jun</c:v>
                </c:pt>
                <c:pt idx="17">
                  <c:v>06-Jun</c:v>
                </c:pt>
                <c:pt idx="18">
                  <c:v>07-Jun</c:v>
                </c:pt>
                <c:pt idx="19">
                  <c:v>08-Jun</c:v>
                </c:pt>
                <c:pt idx="20">
                  <c:v>09-Jun</c:v>
                </c:pt>
                <c:pt idx="21">
                  <c:v>10-Jun</c:v>
                </c:pt>
                <c:pt idx="22">
                  <c:v>11-Jun</c:v>
                </c:pt>
                <c:pt idx="23">
                  <c:v>12-Jun</c:v>
                </c:pt>
                <c:pt idx="24">
                  <c:v>13-Jun</c:v>
                </c:pt>
                <c:pt idx="25">
                  <c:v>14-Jun</c:v>
                </c:pt>
                <c:pt idx="26">
                  <c:v>15-Jun</c:v>
                </c:pt>
                <c:pt idx="27">
                  <c:v>16-Jun</c:v>
                </c:pt>
                <c:pt idx="28">
                  <c:v>17-Jun</c:v>
                </c:pt>
                <c:pt idx="29">
                  <c:v>18-Jun</c:v>
                </c:pt>
              </c:strCache>
            </c:strRef>
          </c:cat>
          <c:val>
            <c:numRef>
              <c:f>'Non med analysis'!$S$4:$S$33</c:f>
              <c:numCache>
                <c:formatCode>General</c:formatCode>
                <c:ptCount val="30"/>
                <c:pt idx="0">
                  <c:v>115</c:v>
                </c:pt>
                <c:pt idx="1">
                  <c:v>20</c:v>
                </c:pt>
                <c:pt idx="2">
                  <c:v>112</c:v>
                </c:pt>
                <c:pt idx="3">
                  <c:v>52</c:v>
                </c:pt>
                <c:pt idx="4">
                  <c:v>27</c:v>
                </c:pt>
                <c:pt idx="5">
                  <c:v>91</c:v>
                </c:pt>
                <c:pt idx="6">
                  <c:v>171</c:v>
                </c:pt>
                <c:pt idx="7">
                  <c:v>109</c:v>
                </c:pt>
                <c:pt idx="8">
                  <c:v>129</c:v>
                </c:pt>
                <c:pt idx="9">
                  <c:v>188</c:v>
                </c:pt>
                <c:pt idx="10">
                  <c:v>96</c:v>
                </c:pt>
                <c:pt idx="11">
                  <c:v>32</c:v>
                </c:pt>
                <c:pt idx="12">
                  <c:v>181</c:v>
                </c:pt>
                <c:pt idx="13">
                  <c:v>327</c:v>
                </c:pt>
                <c:pt idx="14">
                  <c:v>74</c:v>
                </c:pt>
                <c:pt idx="15">
                  <c:v>112</c:v>
                </c:pt>
                <c:pt idx="16">
                  <c:v>89</c:v>
                </c:pt>
                <c:pt idx="17">
                  <c:v>120</c:v>
                </c:pt>
                <c:pt idx="18">
                  <c:v>73</c:v>
                </c:pt>
                <c:pt idx="19">
                  <c:v>98</c:v>
                </c:pt>
                <c:pt idx="20">
                  <c:v>217</c:v>
                </c:pt>
                <c:pt idx="21">
                  <c:v>82</c:v>
                </c:pt>
                <c:pt idx="22">
                  <c:v>19</c:v>
                </c:pt>
                <c:pt idx="23">
                  <c:v>257</c:v>
                </c:pt>
                <c:pt idx="24">
                  <c:v>188</c:v>
                </c:pt>
                <c:pt idx="25">
                  <c:v>124</c:v>
                </c:pt>
                <c:pt idx="26">
                  <c:v>69</c:v>
                </c:pt>
                <c:pt idx="27">
                  <c:v>229</c:v>
                </c:pt>
                <c:pt idx="28">
                  <c:v>258</c:v>
                </c:pt>
                <c:pt idx="2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B-4EB4-B718-E8952680B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229295"/>
        <c:axId val="805819183"/>
      </c:lineChart>
      <c:catAx>
        <c:axId val="1052229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19183"/>
        <c:crosses val="autoZero"/>
        <c:auto val="1"/>
        <c:lblAlgn val="ctr"/>
        <c:lblOffset val="100"/>
        <c:noMultiLvlLbl val="0"/>
      </c:catAx>
      <c:valAx>
        <c:axId val="80581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2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'Non med analysis'!$M$3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'Non med analysis'!$L$4:$L$9</c:f>
              <c:strCache>
                <c:ptCount val="6"/>
                <c:pt idx="0">
                  <c:v>Nutritional powders</c:v>
                </c:pt>
                <c:pt idx="1">
                  <c:v>Hair Care</c:v>
                </c:pt>
                <c:pt idx="2">
                  <c:v>Baby and Child Care</c:v>
                </c:pt>
                <c:pt idx="3">
                  <c:v>Oral Care</c:v>
                </c:pt>
                <c:pt idx="4">
                  <c:v>Hygiene</c:v>
                </c:pt>
                <c:pt idx="5">
                  <c:v>Skin Care</c:v>
                </c:pt>
              </c:strCache>
            </c:strRef>
          </c:cat>
          <c:val>
            <c:numRef>
              <c:f>'Non med analysis'!$M$4:$M$9</c:f>
              <c:numCache>
                <c:formatCode>General</c:formatCode>
                <c:ptCount val="6"/>
                <c:pt idx="0">
                  <c:v>1117</c:v>
                </c:pt>
                <c:pt idx="1">
                  <c:v>972</c:v>
                </c:pt>
                <c:pt idx="2">
                  <c:v>620</c:v>
                </c:pt>
                <c:pt idx="3">
                  <c:v>520</c:v>
                </c:pt>
                <c:pt idx="4">
                  <c:v>348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5-4236-AB29-F71D5E7D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 med analysis'!$W$3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'Non med analysis'!$V$4:$V$10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'Non med analysis'!$W$4:$W$10</c:f>
              <c:numCache>
                <c:formatCode>General</c:formatCode>
                <c:ptCount val="7"/>
                <c:pt idx="0">
                  <c:v>439</c:v>
                </c:pt>
                <c:pt idx="1">
                  <c:v>944</c:v>
                </c:pt>
                <c:pt idx="2">
                  <c:v>638</c:v>
                </c:pt>
                <c:pt idx="3">
                  <c:v>340</c:v>
                </c:pt>
                <c:pt idx="4">
                  <c:v>646</c:v>
                </c:pt>
                <c:pt idx="5">
                  <c:v>456</c:v>
                </c:pt>
                <c:pt idx="6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6-44D5-9733-ADFE42BA2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405407"/>
        <c:axId val="755113407"/>
      </c:lineChart>
      <c:catAx>
        <c:axId val="127240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13407"/>
        <c:crosses val="autoZero"/>
        <c:auto val="1"/>
        <c:lblAlgn val="ctr"/>
        <c:lblOffset val="100"/>
        <c:noMultiLvlLbl val="0"/>
      </c:catAx>
      <c:valAx>
        <c:axId val="7551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0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'Medicinal Analysis'!$D$17</c:f>
              <c:strCache>
                <c:ptCount val="1"/>
                <c:pt idx="0">
                  <c:v>Ashoka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'Medicinal Analysis'!$E$16:$I$16</c:f>
              <c:strCache>
                <c:ptCount val="5"/>
                <c:pt idx="0">
                  <c:v>Antibiotics</c:v>
                </c:pt>
                <c:pt idx="1">
                  <c:v>Cold and Flu</c:v>
                </c:pt>
                <c:pt idx="2">
                  <c:v>Digestive Aids</c:v>
                </c:pt>
                <c:pt idx="3">
                  <c:v>Pain reliever</c:v>
                </c:pt>
                <c:pt idx="4">
                  <c:v>Supplements and vitamins</c:v>
                </c:pt>
              </c:strCache>
            </c:strRef>
          </c:cat>
          <c:val>
            <c:numRef>
              <c:f>'Medicinal Analysis'!$E$17:$I$17</c:f>
              <c:numCache>
                <c:formatCode>General</c:formatCode>
                <c:ptCount val="5"/>
                <c:pt idx="0">
                  <c:v>803.6</c:v>
                </c:pt>
                <c:pt idx="4">
                  <c:v>1696.5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6-47F7-8BE1-E032A1FE1F6C}"/>
            </c:ext>
          </c:extLst>
        </c:ser>
        <c:ser>
          <c:idx val="1"/>
          <c:order val="1"/>
          <c:tx>
            <c:strRef>
              <c:f>'Medicinal Analysis'!$D$18</c:f>
              <c:strCache>
                <c:ptCount val="1"/>
                <c:pt idx="0">
                  <c:v>Chintpurni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'Medicinal Analysis'!$E$16:$I$16</c:f>
              <c:strCache>
                <c:ptCount val="5"/>
                <c:pt idx="0">
                  <c:v>Antibiotics</c:v>
                </c:pt>
                <c:pt idx="1">
                  <c:v>Cold and Flu</c:v>
                </c:pt>
                <c:pt idx="2">
                  <c:v>Digestive Aids</c:v>
                </c:pt>
                <c:pt idx="3">
                  <c:v>Pain reliever</c:v>
                </c:pt>
                <c:pt idx="4">
                  <c:v>Supplements and vitamins</c:v>
                </c:pt>
              </c:strCache>
            </c:strRef>
          </c:cat>
          <c:val>
            <c:numRef>
              <c:f>'Medicinal Analysis'!$E$18:$I$18</c:f>
              <c:numCache>
                <c:formatCode>General</c:formatCode>
                <c:ptCount val="5"/>
                <c:pt idx="0">
                  <c:v>1110</c:v>
                </c:pt>
                <c:pt idx="1">
                  <c:v>588</c:v>
                </c:pt>
                <c:pt idx="2">
                  <c:v>2392</c:v>
                </c:pt>
                <c:pt idx="3">
                  <c:v>550</c:v>
                </c:pt>
                <c:pt idx="4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6-47F7-8BE1-E032A1FE1F6C}"/>
            </c:ext>
          </c:extLst>
        </c:ser>
        <c:ser>
          <c:idx val="2"/>
          <c:order val="2"/>
          <c:tx>
            <c:strRef>
              <c:f>'Medicinal Analysis'!$D$19</c:f>
              <c:strCache>
                <c:ptCount val="1"/>
                <c:pt idx="0">
                  <c:v>Rampal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'Medicinal Analysis'!$E$16:$I$16</c:f>
              <c:strCache>
                <c:ptCount val="5"/>
                <c:pt idx="0">
                  <c:v>Antibiotics</c:v>
                </c:pt>
                <c:pt idx="1">
                  <c:v>Cold and Flu</c:v>
                </c:pt>
                <c:pt idx="2">
                  <c:v>Digestive Aids</c:v>
                </c:pt>
                <c:pt idx="3">
                  <c:v>Pain reliever</c:v>
                </c:pt>
                <c:pt idx="4">
                  <c:v>Supplements and vitamins</c:v>
                </c:pt>
              </c:strCache>
            </c:strRef>
          </c:cat>
          <c:val>
            <c:numRef>
              <c:f>'Medicinal Analysis'!$E$19:$I$19</c:f>
              <c:numCache>
                <c:formatCode>General</c:formatCode>
                <c:ptCount val="5"/>
                <c:pt idx="1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E6-47F7-8BE1-E032A1FE1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5530895"/>
        <c:axId val="927260719"/>
      </c:barChart>
      <c:catAx>
        <c:axId val="7455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60719"/>
        <c:crosses val="autoZero"/>
        <c:auto val="1"/>
        <c:lblAlgn val="ctr"/>
        <c:lblOffset val="100"/>
        <c:noMultiLvlLbl val="0"/>
      </c:catAx>
      <c:valAx>
        <c:axId val="92726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3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'Medicinal Analysis'!$E$30</c:f>
              <c:strCache>
                <c:ptCount val="1"/>
                <c:pt idx="0">
                  <c:v>Frequency of 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'Medicinal Analysis'!$D$31:$D$33</c:f>
              <c:strCache>
                <c:ptCount val="3"/>
                <c:pt idx="0">
                  <c:v>Chintpurni</c:v>
                </c:pt>
                <c:pt idx="1">
                  <c:v>Ashoka</c:v>
                </c:pt>
                <c:pt idx="2">
                  <c:v>Rampal</c:v>
                </c:pt>
              </c:strCache>
            </c:strRef>
          </c:cat>
          <c:val>
            <c:numRef>
              <c:f>'Medicinal Analysis'!$E$31:$E$33</c:f>
              <c:numCache>
                <c:formatCode>General</c:formatCode>
                <c:ptCount val="3"/>
                <c:pt idx="0">
                  <c:v>18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BF-8F9D-387D28AE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124751"/>
        <c:axId val="916724655"/>
      </c:barChart>
      <c:catAx>
        <c:axId val="30712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24655"/>
        <c:crosses val="autoZero"/>
        <c:auto val="1"/>
        <c:lblAlgn val="ctr"/>
        <c:lblOffset val="100"/>
        <c:noMultiLvlLbl val="0"/>
      </c:catAx>
      <c:valAx>
        <c:axId val="9167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12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remaining shelf life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'Medicinal Analysis'!$A$31</c:f>
              <c:strCache>
                <c:ptCount val="1"/>
                <c:pt idx="0">
                  <c:v>Digestive aids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'Medicinal Analysis'!$B$30</c:f>
              <c:strCache>
                <c:ptCount val="1"/>
                <c:pt idx="0">
                  <c:v>Average shelf life left</c:v>
                </c:pt>
              </c:strCache>
            </c:strRef>
          </c:cat>
          <c:val>
            <c:numRef>
              <c:f>'Medicinal Analysis'!$B$31</c:f>
              <c:numCache>
                <c:formatCode>General</c:formatCode>
                <c:ptCount val="1"/>
                <c:pt idx="0">
                  <c:v>793.57142857142856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6-48F5-B4D4-8DAE08C1895F}"/>
            </c:ext>
          </c:extLst>
        </c:ser>
        <c:ser>
          <c:idx val="1"/>
          <c:order val="1"/>
          <c:tx>
            <c:strRef>
              <c:f>'Medicinal Analysis'!$A$32</c:f>
              <c:strCache>
                <c:ptCount val="1"/>
                <c:pt idx="0">
                  <c:v>Cold and Flu remedies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'Medicinal Analysis'!$B$30</c:f>
              <c:strCache>
                <c:ptCount val="1"/>
                <c:pt idx="0">
                  <c:v>Average shelf life left</c:v>
                </c:pt>
              </c:strCache>
            </c:strRef>
          </c:cat>
          <c:val>
            <c:numRef>
              <c:f>'Medicinal Analysis'!$B$32</c:f>
              <c:numCache>
                <c:formatCode>General</c:formatCode>
                <c:ptCount val="1"/>
                <c:pt idx="0">
                  <c:v>410.2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6-48F5-B4D4-8DAE08C1895F}"/>
            </c:ext>
          </c:extLst>
        </c:ser>
        <c:ser>
          <c:idx val="2"/>
          <c:order val="2"/>
          <c:tx>
            <c:strRef>
              <c:f>'Medicinal Analysis'!$A$33</c:f>
              <c:strCache>
                <c:ptCount val="1"/>
                <c:pt idx="0">
                  <c:v>Antibiotics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'Medicinal Analysis'!$B$30</c:f>
              <c:strCache>
                <c:ptCount val="1"/>
                <c:pt idx="0">
                  <c:v>Average shelf life left</c:v>
                </c:pt>
              </c:strCache>
            </c:strRef>
          </c:cat>
          <c:val>
            <c:numRef>
              <c:f>'Medicinal Analysis'!$B$33</c:f>
              <c:numCache>
                <c:formatCode>General</c:formatCode>
                <c:ptCount val="1"/>
                <c:pt idx="0">
                  <c:v>388.75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6-48F5-B4D4-8DAE08C1895F}"/>
            </c:ext>
          </c:extLst>
        </c:ser>
        <c:ser>
          <c:idx val="3"/>
          <c:order val="3"/>
          <c:tx>
            <c:strRef>
              <c:f>'Medicinal Analysis'!$A$34</c:f>
              <c:strCache>
                <c:ptCount val="1"/>
                <c:pt idx="0">
                  <c:v>Supplements and Vitamins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'Medicinal Analysis'!$B$30</c:f>
              <c:strCache>
                <c:ptCount val="1"/>
                <c:pt idx="0">
                  <c:v>Average shelf life left</c:v>
                </c:pt>
              </c:strCache>
            </c:strRef>
          </c:cat>
          <c:val>
            <c:numRef>
              <c:f>'Medicinal Analysis'!$B$34</c:f>
              <c:numCache>
                <c:formatCode>General</c:formatCode>
                <c:ptCount val="1"/>
                <c:pt idx="0">
                  <c:v>377.2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6-48F5-B4D4-8DAE08C1895F}"/>
            </c:ext>
          </c:extLst>
        </c:ser>
        <c:ser>
          <c:idx val="4"/>
          <c:order val="4"/>
          <c:tx>
            <c:strRef>
              <c:f>'Medicinal Analysis'!$A$35</c:f>
              <c:strCache>
                <c:ptCount val="1"/>
                <c:pt idx="0">
                  <c:v>Pain reliever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'Medicinal Analysis'!$B$30</c:f>
              <c:strCache>
                <c:ptCount val="1"/>
                <c:pt idx="0">
                  <c:v>Average shelf life left</c:v>
                </c:pt>
              </c:strCache>
            </c:strRef>
          </c:cat>
          <c:val>
            <c:numRef>
              <c:f>'Medicinal Analysis'!$B$35</c:f>
              <c:numCache>
                <c:formatCode>General</c:formatCode>
                <c:ptCount val="1"/>
                <c:pt idx="0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86-48F5-B4D4-8DAE08C18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922223"/>
        <c:axId val="922708383"/>
      </c:barChart>
      <c:catAx>
        <c:axId val="75692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08383"/>
        <c:crosses val="autoZero"/>
        <c:auto val="1"/>
        <c:lblAlgn val="ctr"/>
        <c:lblOffset val="100"/>
        <c:noMultiLvlLbl val="0"/>
      </c:catAx>
      <c:valAx>
        <c:axId val="92270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2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'Medicinal Analysis'!$E$44</c:f>
              <c:strCache>
                <c:ptCount val="1"/>
                <c:pt idx="0">
                  <c:v>Total Amount spent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'Medicinal Analysis'!$D$45:$D$51</c:f>
              <c:strCache>
                <c:ptCount val="7"/>
                <c:pt idx="0">
                  <c:v>20-May</c:v>
                </c:pt>
                <c:pt idx="1">
                  <c:v>25-May</c:v>
                </c:pt>
                <c:pt idx="2">
                  <c:v>27-May</c:v>
                </c:pt>
                <c:pt idx="3">
                  <c:v>30-May</c:v>
                </c:pt>
                <c:pt idx="4">
                  <c:v>06-Jun</c:v>
                </c:pt>
                <c:pt idx="5">
                  <c:v>14-Jun</c:v>
                </c:pt>
                <c:pt idx="6">
                  <c:v>16-Jun</c:v>
                </c:pt>
              </c:strCache>
            </c:strRef>
          </c:cat>
          <c:val>
            <c:numRef>
              <c:f>'Medicinal Analysis'!$E$45:$E$51</c:f>
              <c:numCache>
                <c:formatCode>General</c:formatCode>
                <c:ptCount val="7"/>
                <c:pt idx="0">
                  <c:v>1624</c:v>
                </c:pt>
                <c:pt idx="1">
                  <c:v>1118.5999999999999</c:v>
                </c:pt>
                <c:pt idx="2">
                  <c:v>1320</c:v>
                </c:pt>
                <c:pt idx="3">
                  <c:v>559.29999999999995</c:v>
                </c:pt>
                <c:pt idx="4">
                  <c:v>1482.2</c:v>
                </c:pt>
                <c:pt idx="5">
                  <c:v>870</c:v>
                </c:pt>
                <c:pt idx="6">
                  <c:v>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1-4DCB-AE4E-3CABD8D6A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126655"/>
        <c:axId val="799595231"/>
      </c:lineChart>
      <c:catAx>
        <c:axId val="92712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95231"/>
        <c:crosses val="autoZero"/>
        <c:auto val="1"/>
        <c:lblAlgn val="ctr"/>
        <c:lblOffset val="100"/>
        <c:noMultiLvlLbl val="0"/>
      </c:catAx>
      <c:valAx>
        <c:axId val="79959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12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total amount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'Medicinal Analysis'!$E$36</c:f>
              <c:strCache>
                <c:ptCount val="1"/>
                <c:pt idx="0">
                  <c:v>Total amount 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'Medicinal Analysis'!$D$37:$D$41</c:f>
              <c:strCache>
                <c:ptCount val="5"/>
                <c:pt idx="0">
                  <c:v>Antibiotics</c:v>
                </c:pt>
                <c:pt idx="1">
                  <c:v>Cold and Flu remedies</c:v>
                </c:pt>
                <c:pt idx="2">
                  <c:v>Digestive aids</c:v>
                </c:pt>
                <c:pt idx="3">
                  <c:v>Pain reliever</c:v>
                </c:pt>
                <c:pt idx="4">
                  <c:v>Supplements and Vitamins</c:v>
                </c:pt>
              </c:strCache>
            </c:strRef>
          </c:cat>
          <c:val>
            <c:numRef>
              <c:f>'Medicinal Analysis'!$E$37:$E$41</c:f>
              <c:numCache>
                <c:formatCode>General</c:formatCode>
                <c:ptCount val="5"/>
                <c:pt idx="0">
                  <c:v>1913.6</c:v>
                </c:pt>
                <c:pt idx="1">
                  <c:v>1248</c:v>
                </c:pt>
                <c:pt idx="2">
                  <c:v>2392</c:v>
                </c:pt>
                <c:pt idx="3">
                  <c:v>550</c:v>
                </c:pt>
                <c:pt idx="4">
                  <c:v>2076.5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0-4F72-8F51-A19C0E68D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Product wise Revenue 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Product wise Revenue Pareto</a:t>
          </a:r>
        </a:p>
      </cx:txPr>
    </cx:title>
    <cx:plotArea>
      <cx:plotAreaRegion>
        <cx:series layoutId="clusteredColumn" uniqueId="{2B1AC776-DF9E-4704-9FD7-0CC447C9B1B4}" formatIdx="0">
          <cx:tx>
            <cx:txData>
              <cx:f>_xlchart.v1.1</cx:f>
              <cx:v>Sum of Revenue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B4FBEFEA-1469-4E29-863B-4F739ED859FE}" formatIdx="2">
          <cx:tx>
            <cx:txData>
              <cx:f>_xlchart.v1.3</cx:f>
              <cx:v>Cumulative Revenue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10EE08AE-159B-420E-845E-5439A7867E8C}" formatIdx="4">
          <cx:tx>
            <cx:txData>
              <cx:f>_xlchart.v1.5</cx:f>
              <cx:v>Percentage</cx:v>
            </cx:txData>
          </cx:tx>
          <cx:dataId val="2"/>
          <cx:layoutPr>
            <cx:aggregation/>
          </cx:layoutPr>
          <cx:axisId val="1"/>
        </cx:series>
        <cx:series layoutId="paretoLine" ownerIdx="0" uniqueId="{FC3DFB08-6A71-4256-B3AB-FC13543FD300}" formatIdx="1">
          <cx:axisId val="2"/>
        </cx:series>
        <cx:series layoutId="paretoLine" ownerIdx="1" uniqueId="{8691004E-7AF2-49E5-944D-E15C937B359E}" formatIdx="3">
          <cx:axisId val="2"/>
        </cx:series>
        <cx:series layoutId="paretoLine" ownerIdx="2" uniqueId="{040F80E5-1A54-4B12-9F26-7C358476161E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/>
    <cx:plotArea>
      <cx:plotAreaRegion>
        <cx:series layoutId="treemap" uniqueId="{461C91AA-2ABF-480A-8389-152AC86FB16D}" formatIdx="1">
          <cx:tx>
            <cx:txData>
              <cx:f>_xlchart.v1.9</cx:f>
              <cx:v>Sum of units sols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Revenue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 Histogram</a:t>
          </a:r>
        </a:p>
      </cx:txPr>
    </cx:title>
    <cx:plotArea>
      <cx:plotAreaRegion>
        <cx:series layoutId="clusteredColumn" uniqueId="{0DBBF120-8C97-45CF-9E7D-64C476001663}">
          <cx:dataId val="0"/>
          <cx:layoutPr>
            <cx:binning intervalClosed="r">
              <cx:binSize val="2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Volume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Volume Histogram</a:t>
          </a:r>
        </a:p>
      </cx:txPr>
    </cx:title>
    <cx:plotArea>
      <cx:plotAreaRegion>
        <cx:series layoutId="clusteredColumn" uniqueId="{B750A1B2-7BBA-47B6-AF25-C027B4DC0CB2}"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 Category wise Profit 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 Category wise Profit Pareto</a:t>
          </a:r>
        </a:p>
      </cx:txPr>
    </cx:title>
    <cx:plotArea>
      <cx:plotAreaRegion>
        <cx:series layoutId="clusteredColumn" uniqueId="{D9B7C78E-917C-400D-9D8C-951FA08E3724}">
          <cx:tx>
            <cx:txData>
              <cx:f>_xlchart.v1.13</cx:f>
              <cx:v>Profit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DE3EB16-3FDE-4F12-B764-397A50228CD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_xlchart.v2.19</cx:f>
      </cx:strDim>
      <cx:numDim type="val">
        <cx:f>_xlchart.v2.21</cx:f>
      </cx:numDim>
    </cx:data>
  </cx:chartData>
  <cx:chart>
    <cx:title pos="t" align="ctr" overlay="0">
      <cx:tx>
        <cx:txData>
          <cx:v>Supplier wise money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Supplier wise money spent</a:t>
          </a:r>
        </a:p>
      </cx:txPr>
    </cx:title>
    <cx:plotArea>
      <cx:plotAreaRegion>
        <cx:series layoutId="funnel" uniqueId="{51B143BB-B451-4FCF-BE23-9F9BF3AAA94E}">
          <cx:tx>
            <cx:txData>
              <cx:f>_xlchart.v2.20</cx:f>
              <cx:v>Sum of amount spent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Total amount spent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amount spent histogram</a:t>
          </a:r>
        </a:p>
      </cx:txPr>
    </cx:title>
    <cx:plotArea>
      <cx:plotAreaRegion>
        <cx:series layoutId="clusteredColumn" uniqueId="{D0A569A5-5BC3-4710-889E-8983642E05F5}">
          <cx:dataId val="0"/>
          <cx:layoutPr>
            <cx:binning intervalClosed="r">
              <cx:binSize val="3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13" Type="http://schemas.openxmlformats.org/officeDocument/2006/relationships/chart" Target="../charts/chart8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12" Type="http://schemas.openxmlformats.org/officeDocument/2006/relationships/chart" Target="../charts/chart7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11" Type="http://schemas.openxmlformats.org/officeDocument/2006/relationships/chart" Target="../charts/chart6.xml"/><Relationship Id="rId5" Type="http://schemas.microsoft.com/office/2014/relationships/chartEx" Target="../charts/chartEx2.xml"/><Relationship Id="rId10" Type="http://schemas.microsoft.com/office/2014/relationships/chartEx" Target="../charts/chartEx5.xml"/><Relationship Id="rId4" Type="http://schemas.openxmlformats.org/officeDocument/2006/relationships/chart" Target="../charts/chart3.xml"/><Relationship Id="rId9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3.xml"/><Relationship Id="rId2" Type="http://schemas.openxmlformats.org/officeDocument/2006/relationships/chart" Target="../charts/chart9.xml"/><Relationship Id="rId1" Type="http://schemas.microsoft.com/office/2014/relationships/chartEx" Target="../charts/chartEx6.xml"/><Relationship Id="rId6" Type="http://schemas.microsoft.com/office/2014/relationships/chartEx" Target="../charts/chartEx7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152400</xdr:colOff>
      <xdr:row>1</xdr:row>
      <xdr:rowOff>93706</xdr:rowOff>
    </xdr:from>
    <xdr:to>
      <xdr:col>36</xdr:col>
      <xdr:colOff>350314</xdr:colOff>
      <xdr:row>18</xdr:row>
      <xdr:rowOff>93706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F26BA0B-4061-4DD5-8475-6F4AEC2129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28508" y="279057"/>
              <a:ext cx="4522779" cy="3150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28</xdr:col>
      <xdr:colOff>546935</xdr:colOff>
      <xdr:row>19</xdr:row>
      <xdr:rowOff>103692</xdr:rowOff>
    </xdr:from>
    <xdr:to>
      <xdr:col>36</xdr:col>
      <xdr:colOff>149024</xdr:colOff>
      <xdr:row>34</xdr:row>
      <xdr:rowOff>104116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51CBE4-8192-45EB-B3F3-7D70182C5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153945</xdr:colOff>
      <xdr:row>38</xdr:row>
      <xdr:rowOff>58271</xdr:rowOff>
    </xdr:from>
    <xdr:to>
      <xdr:col>35</xdr:col>
      <xdr:colOff>354398</xdr:colOff>
      <xdr:row>53</xdr:row>
      <xdr:rowOff>58271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689FF6-D171-4F25-93A2-A0917CF3C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289195</xdr:colOff>
      <xdr:row>37</xdr:row>
      <xdr:rowOff>152081</xdr:rowOff>
    </xdr:from>
    <xdr:to>
      <xdr:col>44</xdr:col>
      <xdr:colOff>201369</xdr:colOff>
      <xdr:row>52</xdr:row>
      <xdr:rowOff>152082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73CCEC-76FE-48E9-984D-A3124AAFD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381789</xdr:colOff>
      <xdr:row>19</xdr:row>
      <xdr:rowOff>138954</xdr:rowOff>
    </xdr:from>
    <xdr:to>
      <xdr:col>44</xdr:col>
      <xdr:colOff>292042</xdr:colOff>
      <xdr:row>35</xdr:row>
      <xdr:rowOff>76371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879701D-B777-4EAF-86AA-CE30C21C31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82762" y="3660630"/>
              <a:ext cx="4852956" cy="2903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425038</xdr:colOff>
      <xdr:row>1</xdr:row>
      <xdr:rowOff>59408</xdr:rowOff>
    </xdr:from>
    <xdr:to>
      <xdr:col>44</xdr:col>
      <xdr:colOff>365553</xdr:colOff>
      <xdr:row>18</xdr:row>
      <xdr:rowOff>43477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09BCB4-1C04-43F2-9B71-6DAB81A73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556054</xdr:colOff>
      <xdr:row>57</xdr:row>
      <xdr:rowOff>23684</xdr:rowOff>
    </xdr:from>
    <xdr:to>
      <xdr:col>36</xdr:col>
      <xdr:colOff>123568</xdr:colOff>
      <xdr:row>71</xdr:row>
      <xdr:rowOff>171965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B10D56-8137-48D3-ABF9-7BE77ABF5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372214</xdr:colOff>
      <xdr:row>56</xdr:row>
      <xdr:rowOff>147662</xdr:rowOff>
    </xdr:from>
    <xdr:to>
      <xdr:col>44</xdr:col>
      <xdr:colOff>47820</xdr:colOff>
      <xdr:row>71</xdr:row>
      <xdr:rowOff>110592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1A957B4-7CCC-4132-A80B-0C706BC6D9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73187" y="10527338"/>
              <a:ext cx="461830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390706</xdr:colOff>
      <xdr:row>73</xdr:row>
      <xdr:rowOff>138319</xdr:rowOff>
    </xdr:from>
    <xdr:to>
      <xdr:col>43</xdr:col>
      <xdr:colOff>585006</xdr:colOff>
      <xdr:row>88</xdr:row>
      <xdr:rowOff>142073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C7CD42D-AE47-435A-A8E2-D3C661A53F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91679" y="13668968"/>
              <a:ext cx="4519165" cy="2784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45</xdr:col>
      <xdr:colOff>342899</xdr:colOff>
      <xdr:row>2</xdr:row>
      <xdr:rowOff>9525</xdr:rowOff>
    </xdr:from>
    <xdr:to>
      <xdr:col>53</xdr:col>
      <xdr:colOff>6667</xdr:colOff>
      <xdr:row>17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A43E3D-DCB5-4C26-9FEA-DBDA474F34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84837" y="390525"/>
              <a:ext cx="4616768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28</xdr:col>
      <xdr:colOff>354940</xdr:colOff>
      <xdr:row>74</xdr:row>
      <xdr:rowOff>20308</xdr:rowOff>
    </xdr:from>
    <xdr:to>
      <xdr:col>36</xdr:col>
      <xdr:colOff>39088</xdr:colOff>
      <xdr:row>88</xdr:row>
      <xdr:rowOff>150424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11C1694-E503-4F64-977F-88E6495C5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45</xdr:col>
      <xdr:colOff>590939</xdr:colOff>
      <xdr:row>20</xdr:row>
      <xdr:rowOff>183502</xdr:rowOff>
    </xdr:from>
    <xdr:to>
      <xdr:col>53</xdr:col>
      <xdr:colOff>311021</xdr:colOff>
      <xdr:row>35</xdr:row>
      <xdr:rowOff>127518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AF1B70-307D-4B15-BE09-58A466FEE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46</xdr:col>
      <xdr:colOff>0</xdr:colOff>
      <xdr:row>38</xdr:row>
      <xdr:rowOff>91786</xdr:rowOff>
    </xdr:from>
    <xdr:to>
      <xdr:col>53</xdr:col>
      <xdr:colOff>329046</xdr:colOff>
      <xdr:row>52</xdr:row>
      <xdr:rowOff>167986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1D44DF-BE7C-4472-9ADA-8DC8C973B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216933</xdr:colOff>
      <xdr:row>2</xdr:row>
      <xdr:rowOff>17318</xdr:rowOff>
    </xdr:from>
    <xdr:to>
      <xdr:col>16</xdr:col>
      <xdr:colOff>365506</xdr:colOff>
      <xdr:row>12</xdr:row>
      <xdr:rowOff>90510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E144594-0D24-41C2-8DA9-D98A52858E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86524" y="398318"/>
              <a:ext cx="4582027" cy="19781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230606</xdr:colOff>
      <xdr:row>15</xdr:row>
      <xdr:rowOff>87228</xdr:rowOff>
    </xdr:from>
    <xdr:to>
      <xdr:col>16</xdr:col>
      <xdr:colOff>370974</xdr:colOff>
      <xdr:row>36</xdr:row>
      <xdr:rowOff>123323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68DD7-3ECA-4CE9-955E-1CF0BDDB4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220579</xdr:colOff>
      <xdr:row>38</xdr:row>
      <xdr:rowOff>37098</xdr:rowOff>
    </xdr:from>
    <xdr:to>
      <xdr:col>16</xdr:col>
      <xdr:colOff>360948</xdr:colOff>
      <xdr:row>53</xdr:row>
      <xdr:rowOff>73192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7187CA-D7F6-436D-BC86-3A6227EC5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51573</xdr:colOff>
      <xdr:row>1</xdr:row>
      <xdr:rowOff>5862</xdr:rowOff>
    </xdr:from>
    <xdr:to>
      <xdr:col>26</xdr:col>
      <xdr:colOff>374529</xdr:colOff>
      <xdr:row>15</xdr:row>
      <xdr:rowOff>169985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DB074A-448C-48EF-9EBD-E29BE7D49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19050</xdr:colOff>
      <xdr:row>18</xdr:row>
      <xdr:rowOff>101600</xdr:rowOff>
    </xdr:from>
    <xdr:to>
      <xdr:col>26</xdr:col>
      <xdr:colOff>323850</xdr:colOff>
      <xdr:row>40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34FE11-0BB7-4115-B033-ED6D6B920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49345</xdr:colOff>
      <xdr:row>41</xdr:row>
      <xdr:rowOff>173632</xdr:rowOff>
    </xdr:from>
    <xdr:to>
      <xdr:col>26</xdr:col>
      <xdr:colOff>339133</xdr:colOff>
      <xdr:row>56</xdr:row>
      <xdr:rowOff>128413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98DCC63-3112-40E7-8334-9A6DDD61A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71653" y="6328247"/>
              <a:ext cx="4598018" cy="2592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1646132</xdr:colOff>
      <xdr:row>28</xdr:row>
      <xdr:rowOff>153303</xdr:rowOff>
    </xdr:from>
    <xdr:to>
      <xdr:col>9</xdr:col>
      <xdr:colOff>551622</xdr:colOff>
      <xdr:row>44</xdr:row>
      <xdr:rowOff>12650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B6E1E3-7CE2-427C-80F0-3782BD6C2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39.805240162037" createdVersion="6" refreshedVersion="6" minRefreshableVersion="3" recordCount="24" xr:uid="{AD548DC7-BD78-4544-83E5-8BCB405D7CCF}">
  <cacheSource type="worksheet">
    <worksheetSource ref="A1:I25" sheet="Medicinal Purchase"/>
  </cacheSource>
  <cacheFields count="10">
    <cacheField name="Name" numFmtId="0">
      <sharedItems count="10">
        <s v="HEPDOZ-DS-SYP"/>
        <s v="NEO-LEEKUF TAB"/>
        <s v="Limtonezyme DS SYP"/>
        <s v="ELDERVIT-SG CAP"/>
        <s v="NEUROLLEN-PLUS CAP"/>
        <s v="LET LC TAB"/>
        <s v="NIMBRA PLUS DL"/>
        <s v="RABISUN-DSR CAP"/>
        <s v="AUGCLAV-LB "/>
        <s v="NIMBRA PLUS G TAB"/>
      </sharedItems>
    </cacheField>
    <cacheField name="Date" numFmtId="14">
      <sharedItems containsSemiMixedTypes="0" containsNonDate="0" containsDate="1" containsString="0" minDate="2025-05-20T00:00:00" maxDate="2025-06-17T00:00:00" count="7">
        <d v="2025-05-20T00:00:00"/>
        <d v="2025-05-25T00:00:00"/>
        <d v="2025-05-27T00:00:00"/>
        <d v="2025-05-30T00:00:00"/>
        <d v="2025-06-06T00:00:00"/>
        <d v="2025-06-14T00:00:00"/>
        <d v="2025-06-16T00:00:00"/>
      </sharedItems>
      <fieldGroup par="9" base="1">
        <rangePr groupBy="days" startDate="2025-05-20T00:00:00" endDate="2025-06-17T00:00:00"/>
        <groupItems count="368">
          <s v="&lt;20-05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7-06-2025"/>
        </groupItems>
      </fieldGroup>
    </cacheField>
    <cacheField name="Expiry" numFmtId="14">
      <sharedItems containsSemiMixedTypes="0" containsNonDate="0" containsDate="1" containsString="0" minDate="2025-10-01T00:00:00" maxDate="2027-08-02T00:00:00"/>
    </cacheField>
    <cacheField name="Qty" numFmtId="0">
      <sharedItems containsSemiMixedTypes="0" containsString="0" containsNumber="1" containsInteger="1" minValue="1" maxValue="60"/>
    </cacheField>
    <cacheField name="Rate" numFmtId="0">
      <sharedItems containsSemiMixedTypes="0" containsString="0" containsNumber="1" minValue="5" maxValue="220"/>
    </cacheField>
    <cacheField name="Amount" numFmtId="0">
      <sharedItems containsSemiMixedTypes="0" containsString="0" containsNumber="1" minValue="84" maxValue="803.6"/>
    </cacheField>
    <cacheField name="Supplier" numFmtId="0">
      <sharedItems/>
    </cacheField>
    <cacheField name="Category" numFmtId="0">
      <sharedItems count="5">
        <s v="Digestive aids"/>
        <s v="Cold and Flu remedies"/>
        <s v="Supplements and Vitamins"/>
        <s v="Pain reliever"/>
        <s v="Antibiotics"/>
      </sharedItems>
    </cacheField>
    <cacheField name="Shelf Life left after purchase" numFmtId="0">
      <sharedItems containsSemiMixedTypes="0" containsString="0" containsNumber="1" containsInteger="1" minValue="117" maxValue="803"/>
    </cacheField>
    <cacheField name="Months" numFmtId="0" databaseField="0">
      <fieldGroup base="1">
        <rangePr groupBy="months" startDate="2025-05-20T00:00:00" endDate="2025-06-17T00:00:00"/>
        <groupItems count="14">
          <s v="&lt;20-05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43.723494097219" createdVersion="6" refreshedVersion="6" minRefreshableVersion="3" recordCount="330" xr:uid="{C7173C74-3CF0-4338-90FE-C9C22EED6C28}">
  <cacheSource type="worksheet">
    <worksheetSource ref="A2:G332" sheet="Non-medicinal Sales"/>
  </cacheSource>
  <cacheFields count="8">
    <cacheField name="Date" numFmtId="14">
      <sharedItems containsSemiMixedTypes="0" containsNonDate="0" containsDate="1" containsString="0" minDate="2025-05-20T00:00:00" maxDate="2025-06-19T00:00:00" count="30"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</sharedItems>
      <fieldGroup par="7" base="0">
        <rangePr groupBy="days" startDate="2025-05-20T00:00:00" endDate="2025-06-19T00:00:00"/>
        <groupItems count="368">
          <s v="&lt;20-05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06-2025"/>
        </groupItems>
      </fieldGroup>
    </cacheField>
    <cacheField name="Day" numFmtId="14">
      <sharedItems/>
    </cacheField>
    <cacheField name="Product Name" numFmtId="0">
      <sharedItems count="11">
        <s v="Head and Shoulder 650ml"/>
        <s v="Indulekha Hair Oil 100ml"/>
        <s v="Listerine Mouthwash 250ml"/>
        <s v="Toothpastes"/>
        <s v="Vaseline 100ml"/>
        <s v="Boroline 20g"/>
        <s v="Pampers Diapers Pack"/>
        <s v="Johnson's Baby Powder 100g"/>
        <s v="Dettol Soap 100g"/>
        <s v="Bournvita 550g"/>
        <s v="Horlicks 500g"/>
      </sharedItems>
    </cacheField>
    <cacheField name="Units Sold" numFmtId="0">
      <sharedItems containsSemiMixedTypes="0" containsString="0" containsNumber="1" containsInteger="1" minValue="0" maxValue="5"/>
    </cacheField>
    <cacheField name="Selling Price" numFmtId="0">
      <sharedItems containsSemiMixedTypes="0" containsString="0" containsNumber="1" containsInteger="1" minValue="35" maxValue="520"/>
    </cacheField>
    <cacheField name="Revenue" numFmtId="0">
      <sharedItems containsSemiMixedTypes="0" containsString="0" containsNumber="1" containsInteger="1" minValue="0" maxValue="1040"/>
    </cacheField>
    <cacheField name="Category" numFmtId="0">
      <sharedItems count="6">
        <s v="Hair Care"/>
        <s v="Oral Care"/>
        <s v="Skin Care"/>
        <s v="Baby and Child Care"/>
        <s v="Hygiene"/>
        <s v="Nutritional powders"/>
      </sharedItems>
    </cacheField>
    <cacheField name="Months" numFmtId="0" databaseField="0">
      <fieldGroup base="0">
        <rangePr groupBy="months" startDate="2025-05-20T00:00:00" endDate="2025-06-19T00:00:00"/>
        <groupItems count="14">
          <s v="&lt;20-05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44.79943240741" createdVersion="6" refreshedVersion="6" minRefreshableVersion="3" recordCount="330" xr:uid="{B7F1730B-BA38-48E7-9E75-E88393649BC0}">
  <cacheSource type="worksheet">
    <worksheetSource ref="A2:H332" sheet="Non-medicinal Sales"/>
  </cacheSource>
  <cacheFields count="9">
    <cacheField name="Date" numFmtId="14">
      <sharedItems containsSemiMixedTypes="0" containsNonDate="0" containsDate="1" containsString="0" minDate="2025-05-20T00:00:00" maxDate="2025-06-19T00:00:00" count="30"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</sharedItems>
      <fieldGroup par="8" base="0">
        <rangePr groupBy="days" startDate="2025-05-20T00:00:00" endDate="2025-06-19T00:00:00"/>
        <groupItems count="368">
          <s v="&lt;20-05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06-2025"/>
        </groupItems>
      </fieldGroup>
    </cacheField>
    <cacheField name="Day" numFmtId="14">
      <sharedItems count="7">
        <s v="Tuesday"/>
        <s v="Wednesday"/>
        <s v="Thursday"/>
        <s v="Friday"/>
        <s v="Saturday"/>
        <s v="Sunday"/>
        <s v="Monday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0" maxValue="5"/>
    </cacheField>
    <cacheField name="Selling Price" numFmtId="0">
      <sharedItems containsSemiMixedTypes="0" containsString="0" containsNumber="1" containsInteger="1" minValue="35" maxValue="520"/>
    </cacheField>
    <cacheField name="Revenue" numFmtId="0">
      <sharedItems containsSemiMixedTypes="0" containsString="0" containsNumber="1" containsInteger="1" minValue="0" maxValue="1040"/>
    </cacheField>
    <cacheField name="Category" numFmtId="0">
      <sharedItems count="6">
        <s v="Hair Care"/>
        <s v="Oral Care"/>
        <s v="Skin Care"/>
        <s v="Baby and Child Care"/>
        <s v="Hygiene"/>
        <s v="Nutritional powders"/>
      </sharedItems>
    </cacheField>
    <cacheField name="Profit" numFmtId="0">
      <sharedItems containsSemiMixedTypes="0" containsString="0" containsNumber="1" containsInteger="1" minValue="0" maxValue="176"/>
    </cacheField>
    <cacheField name="Months" numFmtId="0" databaseField="0">
      <fieldGroup base="0">
        <rangePr groupBy="months" startDate="2025-05-20T00:00:00" endDate="2025-06-19T00:00:00"/>
        <groupItems count="14">
          <s v="&lt;20-05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d v="2027-08-01T00:00:00"/>
    <n v="10"/>
    <n v="35"/>
    <n v="350"/>
    <s v="Chintpurni"/>
    <x v="0"/>
    <n v="803"/>
  </r>
  <r>
    <x v="1"/>
    <x v="0"/>
    <d v="2026-08-01T00:00:00"/>
    <n v="20"/>
    <n v="8.4"/>
    <n v="168"/>
    <s v="Chintpurni"/>
    <x v="1"/>
    <n v="438"/>
  </r>
  <r>
    <x v="0"/>
    <x v="0"/>
    <d v="2027-08-01T00:00:00"/>
    <n v="20"/>
    <n v="35"/>
    <n v="700"/>
    <s v="Chintpurni"/>
    <x v="0"/>
    <n v="803"/>
  </r>
  <r>
    <x v="2"/>
    <x v="0"/>
    <d v="2027-08-01T00:00:00"/>
    <n v="6"/>
    <n v="36"/>
    <n v="216"/>
    <s v="Chintpurni"/>
    <x v="0"/>
    <n v="803"/>
  </r>
  <r>
    <x v="3"/>
    <x v="0"/>
    <d v="2026-07-01T00:00:00"/>
    <n v="20"/>
    <n v="9.5"/>
    <n v="190"/>
    <s v="Chintpurni"/>
    <x v="2"/>
    <n v="407"/>
  </r>
  <r>
    <x v="4"/>
    <x v="1"/>
    <d v="2026-06-01T00:00:00"/>
    <n v="20"/>
    <n v="33.93"/>
    <n v="678.6"/>
    <s v="Ashoka"/>
    <x v="2"/>
    <n v="372"/>
  </r>
  <r>
    <x v="5"/>
    <x v="1"/>
    <d v="2025-12-01T00:00:00"/>
    <n v="2"/>
    <n v="220"/>
    <n v="440"/>
    <s v="Rampal"/>
    <x v="1"/>
    <n v="190"/>
  </r>
  <r>
    <x v="0"/>
    <x v="2"/>
    <d v="2027-08-01T00:00:00"/>
    <n v="10"/>
    <n v="35"/>
    <n v="350"/>
    <s v="Chintpurni"/>
    <x v="0"/>
    <n v="796"/>
  </r>
  <r>
    <x v="2"/>
    <x v="2"/>
    <d v="2027-08-01T00:00:00"/>
    <n v="6"/>
    <n v="36"/>
    <n v="216"/>
    <s v="Chintpurni"/>
    <x v="0"/>
    <n v="796"/>
  </r>
  <r>
    <x v="6"/>
    <x v="2"/>
    <d v="2026-02-01T00:00:00"/>
    <n v="60"/>
    <n v="5"/>
    <n v="300"/>
    <s v="Chintpurni"/>
    <x v="3"/>
    <n v="250"/>
  </r>
  <r>
    <x v="7"/>
    <x v="2"/>
    <d v="2026-10-01T00:00:00"/>
    <n v="40"/>
    <n v="9.25"/>
    <n v="370"/>
    <s v="Chintpurni"/>
    <x v="4"/>
    <n v="492"/>
  </r>
  <r>
    <x v="1"/>
    <x v="2"/>
    <d v="2026-08-01T00:00:00"/>
    <n v="10"/>
    <n v="8.4"/>
    <n v="84"/>
    <s v="Chintpurni"/>
    <x v="1"/>
    <n v="431"/>
  </r>
  <r>
    <x v="4"/>
    <x v="3"/>
    <d v="2026-06-01T00:00:00"/>
    <n v="10"/>
    <n v="33.93"/>
    <n v="339.3"/>
    <s v="Ashoka"/>
    <x v="2"/>
    <n v="367"/>
  </r>
  <r>
    <x v="5"/>
    <x v="3"/>
    <d v="2027-01-01T00:00:00"/>
    <n v="1"/>
    <n v="220"/>
    <n v="220"/>
    <s v="Rampal"/>
    <x v="1"/>
    <n v="581"/>
  </r>
  <r>
    <x v="8"/>
    <x v="4"/>
    <d v="2025-10-01T00:00:00"/>
    <n v="20"/>
    <n v="40.18"/>
    <n v="803.6"/>
    <s v="Ashoka"/>
    <x v="4"/>
    <n v="117"/>
  </r>
  <r>
    <x v="4"/>
    <x v="4"/>
    <d v="2026-06-01T00:00:00"/>
    <n v="20"/>
    <n v="33.93"/>
    <n v="678.6"/>
    <s v="Ashoka"/>
    <x v="2"/>
    <n v="360"/>
  </r>
  <r>
    <x v="0"/>
    <x v="5"/>
    <d v="2027-08-01T00:00:00"/>
    <n v="10"/>
    <n v="35"/>
    <n v="350"/>
    <s v="Chintpurni"/>
    <x v="0"/>
    <n v="778"/>
  </r>
  <r>
    <x v="7"/>
    <x v="5"/>
    <d v="2026-10-01T00:00:00"/>
    <n v="40"/>
    <n v="9.25"/>
    <n v="370"/>
    <s v="Chintpurni"/>
    <x v="4"/>
    <n v="474"/>
  </r>
  <r>
    <x v="6"/>
    <x v="5"/>
    <d v="2026-02-01T00:00:00"/>
    <n v="30"/>
    <n v="5"/>
    <n v="150"/>
    <s v="Chintpurni"/>
    <x v="3"/>
    <n v="232"/>
  </r>
  <r>
    <x v="9"/>
    <x v="6"/>
    <d v="2026-09-01T00:00:00"/>
    <n v="20"/>
    <n v="5"/>
    <n v="100"/>
    <s v="Chintpurni"/>
    <x v="3"/>
    <n v="442"/>
  </r>
  <r>
    <x v="7"/>
    <x v="6"/>
    <d v="2026-10-01T00:00:00"/>
    <n v="40"/>
    <n v="9.25"/>
    <n v="370"/>
    <s v="Chintpurni"/>
    <x v="4"/>
    <n v="472"/>
  </r>
  <r>
    <x v="3"/>
    <x v="6"/>
    <d v="2026-07-01T00:00:00"/>
    <n v="20"/>
    <n v="9.5"/>
    <n v="190"/>
    <s v="Chintpurni"/>
    <x v="2"/>
    <n v="380"/>
  </r>
  <r>
    <x v="1"/>
    <x v="6"/>
    <d v="2026-08-01T00:00:00"/>
    <n v="40"/>
    <n v="8.4"/>
    <n v="336"/>
    <s v="Chintpurni"/>
    <x v="1"/>
    <n v="411"/>
  </r>
  <r>
    <x v="0"/>
    <x v="6"/>
    <d v="2027-08-01T00:00:00"/>
    <n v="6"/>
    <n v="35"/>
    <n v="210"/>
    <s v="Chintpurni"/>
    <x v="0"/>
    <n v="77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s v="Tuesday"/>
    <x v="0"/>
    <n v="1"/>
    <n v="520"/>
    <n v="520"/>
    <x v="0"/>
  </r>
  <r>
    <x v="0"/>
    <s v="Tuesday"/>
    <x v="1"/>
    <n v="0"/>
    <n v="248"/>
    <n v="0"/>
    <x v="0"/>
  </r>
  <r>
    <x v="0"/>
    <s v="Tuesday"/>
    <x v="2"/>
    <n v="0"/>
    <n v="200"/>
    <n v="0"/>
    <x v="1"/>
  </r>
  <r>
    <x v="0"/>
    <s v="Tuesday"/>
    <x v="3"/>
    <n v="1"/>
    <n v="46"/>
    <n v="46"/>
    <x v="1"/>
  </r>
  <r>
    <x v="0"/>
    <s v="Tuesday"/>
    <x v="4"/>
    <n v="0"/>
    <n v="95"/>
    <n v="0"/>
    <x v="2"/>
  </r>
  <r>
    <x v="0"/>
    <s v="Tuesday"/>
    <x v="5"/>
    <n v="0"/>
    <n v="35"/>
    <n v="0"/>
    <x v="2"/>
  </r>
  <r>
    <x v="0"/>
    <s v="Tuesday"/>
    <x v="6"/>
    <n v="1"/>
    <n v="60"/>
    <n v="60"/>
    <x v="3"/>
  </r>
  <r>
    <x v="0"/>
    <s v="Tuesday"/>
    <x v="7"/>
    <n v="1"/>
    <n v="120"/>
    <n v="120"/>
    <x v="3"/>
  </r>
  <r>
    <x v="0"/>
    <s v="Tuesday"/>
    <x v="8"/>
    <n v="0"/>
    <n v="50"/>
    <n v="0"/>
    <x v="4"/>
  </r>
  <r>
    <x v="0"/>
    <s v="Tuesday"/>
    <x v="9"/>
    <n v="0"/>
    <n v="250"/>
    <n v="0"/>
    <x v="5"/>
  </r>
  <r>
    <x v="0"/>
    <s v="Tuesday"/>
    <x v="10"/>
    <n v="1"/>
    <n v="249"/>
    <n v="249"/>
    <x v="5"/>
  </r>
  <r>
    <x v="1"/>
    <s v="Wednesday"/>
    <x v="0"/>
    <n v="0"/>
    <n v="520"/>
    <n v="0"/>
    <x v="0"/>
  </r>
  <r>
    <x v="1"/>
    <s v="Wednesday"/>
    <x v="1"/>
    <n v="0"/>
    <n v="248"/>
    <n v="0"/>
    <x v="0"/>
  </r>
  <r>
    <x v="1"/>
    <s v="Wednesday"/>
    <x v="2"/>
    <n v="0"/>
    <n v="200"/>
    <n v="0"/>
    <x v="1"/>
  </r>
  <r>
    <x v="1"/>
    <s v="Wednesday"/>
    <x v="3"/>
    <n v="0"/>
    <n v="46"/>
    <n v="0"/>
    <x v="1"/>
  </r>
  <r>
    <x v="1"/>
    <s v="Wednesday"/>
    <x v="4"/>
    <n v="0"/>
    <n v="95"/>
    <n v="0"/>
    <x v="2"/>
  </r>
  <r>
    <x v="1"/>
    <s v="Wednesday"/>
    <x v="5"/>
    <n v="0"/>
    <n v="35"/>
    <n v="0"/>
    <x v="2"/>
  </r>
  <r>
    <x v="1"/>
    <s v="Wednesday"/>
    <x v="6"/>
    <n v="1"/>
    <n v="60"/>
    <n v="60"/>
    <x v="3"/>
  </r>
  <r>
    <x v="1"/>
    <s v="Wednesday"/>
    <x v="7"/>
    <n v="0"/>
    <n v="120"/>
    <n v="0"/>
    <x v="3"/>
  </r>
  <r>
    <x v="1"/>
    <s v="Wednesday"/>
    <x v="8"/>
    <n v="0"/>
    <n v="50"/>
    <n v="0"/>
    <x v="4"/>
  </r>
  <r>
    <x v="1"/>
    <s v="Wednesday"/>
    <x v="9"/>
    <n v="0"/>
    <n v="250"/>
    <n v="0"/>
    <x v="5"/>
  </r>
  <r>
    <x v="1"/>
    <s v="Wednesday"/>
    <x v="10"/>
    <n v="0"/>
    <n v="249"/>
    <n v="0"/>
    <x v="5"/>
  </r>
  <r>
    <x v="2"/>
    <s v="Thursday"/>
    <x v="0"/>
    <n v="0"/>
    <n v="520"/>
    <n v="0"/>
    <x v="0"/>
  </r>
  <r>
    <x v="2"/>
    <s v="Thursday"/>
    <x v="1"/>
    <n v="0"/>
    <n v="248"/>
    <n v="0"/>
    <x v="0"/>
  </r>
  <r>
    <x v="2"/>
    <s v="Thursday"/>
    <x v="2"/>
    <n v="0"/>
    <n v="200"/>
    <n v="0"/>
    <x v="1"/>
  </r>
  <r>
    <x v="2"/>
    <s v="Thursday"/>
    <x v="3"/>
    <n v="2"/>
    <n v="46"/>
    <n v="92"/>
    <x v="1"/>
  </r>
  <r>
    <x v="2"/>
    <s v="Thursday"/>
    <x v="4"/>
    <n v="0"/>
    <n v="95"/>
    <n v="0"/>
    <x v="2"/>
  </r>
  <r>
    <x v="2"/>
    <s v="Thursday"/>
    <x v="5"/>
    <n v="0"/>
    <n v="35"/>
    <n v="0"/>
    <x v="2"/>
  </r>
  <r>
    <x v="2"/>
    <s v="Thursday"/>
    <x v="6"/>
    <n v="2"/>
    <n v="60"/>
    <n v="120"/>
    <x v="3"/>
  </r>
  <r>
    <x v="2"/>
    <s v="Thursday"/>
    <x v="7"/>
    <n v="0"/>
    <n v="120"/>
    <n v="0"/>
    <x v="3"/>
  </r>
  <r>
    <x v="2"/>
    <s v="Thursday"/>
    <x v="8"/>
    <n v="0"/>
    <n v="50"/>
    <n v="0"/>
    <x v="4"/>
  </r>
  <r>
    <x v="2"/>
    <s v="Thursday"/>
    <x v="9"/>
    <n v="1"/>
    <n v="250"/>
    <n v="250"/>
    <x v="5"/>
  </r>
  <r>
    <x v="2"/>
    <s v="Thursday"/>
    <x v="10"/>
    <n v="0"/>
    <n v="249"/>
    <n v="0"/>
    <x v="5"/>
  </r>
  <r>
    <x v="3"/>
    <s v="Friday"/>
    <x v="0"/>
    <n v="0"/>
    <n v="520"/>
    <n v="0"/>
    <x v="0"/>
  </r>
  <r>
    <x v="3"/>
    <s v="Friday"/>
    <x v="1"/>
    <n v="0"/>
    <n v="248"/>
    <n v="0"/>
    <x v="0"/>
  </r>
  <r>
    <x v="3"/>
    <s v="Friday"/>
    <x v="2"/>
    <n v="0"/>
    <n v="200"/>
    <n v="0"/>
    <x v="1"/>
  </r>
  <r>
    <x v="3"/>
    <s v="Friday"/>
    <x v="3"/>
    <n v="0"/>
    <n v="46"/>
    <n v="0"/>
    <x v="1"/>
  </r>
  <r>
    <x v="3"/>
    <s v="Friday"/>
    <x v="4"/>
    <n v="0"/>
    <n v="95"/>
    <n v="0"/>
    <x v="2"/>
  </r>
  <r>
    <x v="3"/>
    <s v="Friday"/>
    <x v="5"/>
    <n v="0"/>
    <n v="35"/>
    <n v="0"/>
    <x v="2"/>
  </r>
  <r>
    <x v="3"/>
    <s v="Friday"/>
    <x v="6"/>
    <n v="0"/>
    <n v="60"/>
    <n v="0"/>
    <x v="3"/>
  </r>
  <r>
    <x v="3"/>
    <s v="Friday"/>
    <x v="7"/>
    <n v="0"/>
    <n v="120"/>
    <n v="0"/>
    <x v="3"/>
  </r>
  <r>
    <x v="3"/>
    <s v="Friday"/>
    <x v="8"/>
    <n v="1"/>
    <n v="50"/>
    <n v="50"/>
    <x v="4"/>
  </r>
  <r>
    <x v="3"/>
    <s v="Friday"/>
    <x v="9"/>
    <n v="1"/>
    <n v="250"/>
    <n v="250"/>
    <x v="5"/>
  </r>
  <r>
    <x v="3"/>
    <s v="Friday"/>
    <x v="10"/>
    <n v="0"/>
    <n v="249"/>
    <n v="0"/>
    <x v="5"/>
  </r>
  <r>
    <x v="4"/>
    <s v="Saturday"/>
    <x v="0"/>
    <n v="0"/>
    <n v="520"/>
    <n v="0"/>
    <x v="0"/>
  </r>
  <r>
    <x v="4"/>
    <s v="Saturday"/>
    <x v="1"/>
    <n v="0"/>
    <n v="248"/>
    <n v="0"/>
    <x v="0"/>
  </r>
  <r>
    <x v="4"/>
    <s v="Saturday"/>
    <x v="2"/>
    <n v="0"/>
    <n v="200"/>
    <n v="0"/>
    <x v="1"/>
  </r>
  <r>
    <x v="4"/>
    <s v="Saturday"/>
    <x v="3"/>
    <n v="0"/>
    <n v="46"/>
    <n v="0"/>
    <x v="1"/>
  </r>
  <r>
    <x v="4"/>
    <s v="Saturday"/>
    <x v="4"/>
    <n v="0"/>
    <n v="95"/>
    <n v="0"/>
    <x v="2"/>
  </r>
  <r>
    <x v="4"/>
    <s v="Saturday"/>
    <x v="5"/>
    <n v="1"/>
    <n v="35"/>
    <n v="35"/>
    <x v="2"/>
  </r>
  <r>
    <x v="4"/>
    <s v="Saturday"/>
    <x v="6"/>
    <n v="0"/>
    <n v="60"/>
    <n v="0"/>
    <x v="3"/>
  </r>
  <r>
    <x v="4"/>
    <s v="Saturday"/>
    <x v="7"/>
    <n v="2"/>
    <n v="120"/>
    <n v="240"/>
    <x v="3"/>
  </r>
  <r>
    <x v="4"/>
    <s v="Saturday"/>
    <x v="8"/>
    <n v="0"/>
    <n v="50"/>
    <n v="0"/>
    <x v="4"/>
  </r>
  <r>
    <x v="4"/>
    <s v="Saturday"/>
    <x v="9"/>
    <n v="0"/>
    <n v="250"/>
    <n v="0"/>
    <x v="5"/>
  </r>
  <r>
    <x v="4"/>
    <s v="Saturday"/>
    <x v="10"/>
    <n v="0"/>
    <n v="249"/>
    <n v="0"/>
    <x v="5"/>
  </r>
  <r>
    <x v="5"/>
    <s v="Sunday"/>
    <x v="0"/>
    <n v="0"/>
    <n v="520"/>
    <n v="0"/>
    <x v="0"/>
  </r>
  <r>
    <x v="5"/>
    <s v="Sunday"/>
    <x v="1"/>
    <n v="0"/>
    <n v="248"/>
    <n v="0"/>
    <x v="0"/>
  </r>
  <r>
    <x v="5"/>
    <s v="Sunday"/>
    <x v="2"/>
    <n v="1"/>
    <n v="200"/>
    <n v="200"/>
    <x v="1"/>
  </r>
  <r>
    <x v="5"/>
    <s v="Sunday"/>
    <x v="3"/>
    <n v="2"/>
    <n v="46"/>
    <n v="92"/>
    <x v="1"/>
  </r>
  <r>
    <x v="5"/>
    <s v="Sunday"/>
    <x v="4"/>
    <n v="1"/>
    <n v="95"/>
    <n v="95"/>
    <x v="2"/>
  </r>
  <r>
    <x v="5"/>
    <s v="Sunday"/>
    <x v="5"/>
    <n v="1"/>
    <n v="35"/>
    <n v="35"/>
    <x v="2"/>
  </r>
  <r>
    <x v="5"/>
    <s v="Sunday"/>
    <x v="6"/>
    <n v="0"/>
    <n v="60"/>
    <n v="0"/>
    <x v="3"/>
  </r>
  <r>
    <x v="5"/>
    <s v="Sunday"/>
    <x v="7"/>
    <n v="1"/>
    <n v="120"/>
    <n v="120"/>
    <x v="3"/>
  </r>
  <r>
    <x v="5"/>
    <s v="Sunday"/>
    <x v="8"/>
    <n v="1"/>
    <n v="50"/>
    <n v="50"/>
    <x v="4"/>
  </r>
  <r>
    <x v="5"/>
    <s v="Sunday"/>
    <x v="9"/>
    <n v="0"/>
    <n v="250"/>
    <n v="0"/>
    <x v="5"/>
  </r>
  <r>
    <x v="5"/>
    <s v="Sunday"/>
    <x v="10"/>
    <n v="0"/>
    <n v="249"/>
    <n v="0"/>
    <x v="5"/>
  </r>
  <r>
    <x v="6"/>
    <s v="Monday"/>
    <x v="0"/>
    <n v="1"/>
    <n v="520"/>
    <n v="520"/>
    <x v="0"/>
  </r>
  <r>
    <x v="6"/>
    <s v="Monday"/>
    <x v="1"/>
    <n v="0"/>
    <n v="248"/>
    <n v="0"/>
    <x v="0"/>
  </r>
  <r>
    <x v="6"/>
    <s v="Monday"/>
    <x v="2"/>
    <n v="0"/>
    <n v="200"/>
    <n v="0"/>
    <x v="1"/>
  </r>
  <r>
    <x v="6"/>
    <s v="Monday"/>
    <x v="3"/>
    <n v="2"/>
    <n v="46"/>
    <n v="92"/>
    <x v="1"/>
  </r>
  <r>
    <x v="6"/>
    <s v="Monday"/>
    <x v="4"/>
    <n v="1"/>
    <n v="95"/>
    <n v="95"/>
    <x v="2"/>
  </r>
  <r>
    <x v="6"/>
    <s v="Monday"/>
    <x v="5"/>
    <n v="0"/>
    <n v="35"/>
    <n v="0"/>
    <x v="2"/>
  </r>
  <r>
    <x v="6"/>
    <s v="Monday"/>
    <x v="6"/>
    <n v="1"/>
    <n v="60"/>
    <n v="60"/>
    <x v="3"/>
  </r>
  <r>
    <x v="6"/>
    <s v="Monday"/>
    <x v="7"/>
    <n v="0"/>
    <n v="120"/>
    <n v="0"/>
    <x v="3"/>
  </r>
  <r>
    <x v="6"/>
    <s v="Monday"/>
    <x v="8"/>
    <n v="0"/>
    <n v="50"/>
    <n v="0"/>
    <x v="4"/>
  </r>
  <r>
    <x v="6"/>
    <s v="Monday"/>
    <x v="9"/>
    <n v="1"/>
    <n v="250"/>
    <n v="250"/>
    <x v="5"/>
  </r>
  <r>
    <x v="6"/>
    <s v="Monday"/>
    <x v="10"/>
    <n v="1"/>
    <n v="249"/>
    <n v="249"/>
    <x v="5"/>
  </r>
  <r>
    <x v="7"/>
    <s v="Tuesday"/>
    <x v="0"/>
    <n v="0"/>
    <n v="520"/>
    <n v="0"/>
    <x v="0"/>
  </r>
  <r>
    <x v="7"/>
    <s v="Tuesday"/>
    <x v="1"/>
    <n v="0"/>
    <n v="248"/>
    <n v="0"/>
    <x v="0"/>
  </r>
  <r>
    <x v="7"/>
    <s v="Tuesday"/>
    <x v="2"/>
    <n v="0"/>
    <n v="200"/>
    <n v="0"/>
    <x v="1"/>
  </r>
  <r>
    <x v="7"/>
    <s v="Tuesday"/>
    <x v="3"/>
    <n v="1"/>
    <n v="46"/>
    <n v="46"/>
    <x v="1"/>
  </r>
  <r>
    <x v="7"/>
    <s v="Tuesday"/>
    <x v="4"/>
    <n v="0"/>
    <n v="95"/>
    <n v="0"/>
    <x v="2"/>
  </r>
  <r>
    <x v="7"/>
    <s v="Tuesday"/>
    <x v="5"/>
    <n v="0"/>
    <n v="35"/>
    <n v="0"/>
    <x v="2"/>
  </r>
  <r>
    <x v="7"/>
    <s v="Tuesday"/>
    <x v="6"/>
    <n v="0"/>
    <n v="60"/>
    <n v="0"/>
    <x v="3"/>
  </r>
  <r>
    <x v="7"/>
    <s v="Tuesday"/>
    <x v="7"/>
    <n v="2"/>
    <n v="120"/>
    <n v="240"/>
    <x v="3"/>
  </r>
  <r>
    <x v="7"/>
    <s v="Tuesday"/>
    <x v="8"/>
    <n v="2"/>
    <n v="50"/>
    <n v="100"/>
    <x v="4"/>
  </r>
  <r>
    <x v="7"/>
    <s v="Tuesday"/>
    <x v="9"/>
    <n v="0"/>
    <n v="250"/>
    <n v="0"/>
    <x v="5"/>
  </r>
  <r>
    <x v="7"/>
    <s v="Tuesday"/>
    <x v="10"/>
    <n v="1"/>
    <n v="249"/>
    <n v="249"/>
    <x v="5"/>
  </r>
  <r>
    <x v="8"/>
    <s v="Wednesday"/>
    <x v="0"/>
    <n v="0"/>
    <n v="520"/>
    <n v="0"/>
    <x v="0"/>
  </r>
  <r>
    <x v="8"/>
    <s v="Wednesday"/>
    <x v="1"/>
    <n v="0"/>
    <n v="248"/>
    <n v="0"/>
    <x v="0"/>
  </r>
  <r>
    <x v="8"/>
    <s v="Wednesday"/>
    <x v="2"/>
    <n v="0"/>
    <n v="200"/>
    <n v="0"/>
    <x v="1"/>
  </r>
  <r>
    <x v="8"/>
    <s v="Wednesday"/>
    <x v="3"/>
    <n v="5"/>
    <n v="46"/>
    <n v="230"/>
    <x v="1"/>
  </r>
  <r>
    <x v="8"/>
    <s v="Wednesday"/>
    <x v="4"/>
    <n v="1"/>
    <n v="95"/>
    <n v="95"/>
    <x v="2"/>
  </r>
  <r>
    <x v="8"/>
    <s v="Wednesday"/>
    <x v="5"/>
    <n v="1"/>
    <n v="35"/>
    <n v="35"/>
    <x v="2"/>
  </r>
  <r>
    <x v="8"/>
    <s v="Wednesday"/>
    <x v="6"/>
    <n v="1"/>
    <n v="60"/>
    <n v="60"/>
    <x v="3"/>
  </r>
  <r>
    <x v="8"/>
    <s v="Wednesday"/>
    <x v="7"/>
    <n v="0"/>
    <n v="120"/>
    <n v="0"/>
    <x v="3"/>
  </r>
  <r>
    <x v="8"/>
    <s v="Wednesday"/>
    <x v="8"/>
    <n v="1"/>
    <n v="50"/>
    <n v="50"/>
    <x v="4"/>
  </r>
  <r>
    <x v="8"/>
    <s v="Wednesday"/>
    <x v="9"/>
    <n v="0"/>
    <n v="250"/>
    <n v="0"/>
    <x v="5"/>
  </r>
  <r>
    <x v="8"/>
    <s v="Wednesday"/>
    <x v="10"/>
    <n v="0"/>
    <n v="249"/>
    <n v="0"/>
    <x v="5"/>
  </r>
  <r>
    <x v="9"/>
    <s v="Thursday"/>
    <x v="0"/>
    <n v="1"/>
    <n v="520"/>
    <n v="520"/>
    <x v="0"/>
  </r>
  <r>
    <x v="9"/>
    <s v="Thursday"/>
    <x v="1"/>
    <n v="1"/>
    <n v="248"/>
    <n v="248"/>
    <x v="0"/>
  </r>
  <r>
    <x v="9"/>
    <s v="Thursday"/>
    <x v="2"/>
    <n v="0"/>
    <n v="200"/>
    <n v="0"/>
    <x v="1"/>
  </r>
  <r>
    <x v="9"/>
    <s v="Thursday"/>
    <x v="3"/>
    <n v="3"/>
    <n v="46"/>
    <n v="138"/>
    <x v="1"/>
  </r>
  <r>
    <x v="9"/>
    <s v="Thursday"/>
    <x v="4"/>
    <n v="0"/>
    <n v="95"/>
    <n v="0"/>
    <x v="2"/>
  </r>
  <r>
    <x v="9"/>
    <s v="Thursday"/>
    <x v="5"/>
    <n v="0"/>
    <n v="35"/>
    <n v="0"/>
    <x v="2"/>
  </r>
  <r>
    <x v="9"/>
    <s v="Thursday"/>
    <x v="6"/>
    <n v="1"/>
    <n v="60"/>
    <n v="60"/>
    <x v="3"/>
  </r>
  <r>
    <x v="9"/>
    <s v="Thursday"/>
    <x v="7"/>
    <n v="0"/>
    <n v="120"/>
    <n v="0"/>
    <x v="3"/>
  </r>
  <r>
    <x v="9"/>
    <s v="Thursday"/>
    <x v="8"/>
    <n v="1"/>
    <n v="50"/>
    <n v="50"/>
    <x v="4"/>
  </r>
  <r>
    <x v="9"/>
    <s v="Thursday"/>
    <x v="9"/>
    <n v="0"/>
    <n v="250"/>
    <n v="0"/>
    <x v="5"/>
  </r>
  <r>
    <x v="9"/>
    <s v="Thursday"/>
    <x v="10"/>
    <n v="0"/>
    <n v="249"/>
    <n v="0"/>
    <x v="5"/>
  </r>
  <r>
    <x v="10"/>
    <s v="Friday"/>
    <x v="0"/>
    <n v="0"/>
    <n v="520"/>
    <n v="0"/>
    <x v="0"/>
  </r>
  <r>
    <x v="10"/>
    <s v="Friday"/>
    <x v="1"/>
    <n v="0"/>
    <n v="248"/>
    <n v="0"/>
    <x v="0"/>
  </r>
  <r>
    <x v="10"/>
    <s v="Friday"/>
    <x v="2"/>
    <n v="0"/>
    <n v="200"/>
    <n v="0"/>
    <x v="1"/>
  </r>
  <r>
    <x v="10"/>
    <s v="Friday"/>
    <x v="3"/>
    <n v="1"/>
    <n v="46"/>
    <n v="46"/>
    <x v="1"/>
  </r>
  <r>
    <x v="10"/>
    <s v="Friday"/>
    <x v="4"/>
    <n v="0"/>
    <n v="95"/>
    <n v="0"/>
    <x v="2"/>
  </r>
  <r>
    <x v="10"/>
    <s v="Friday"/>
    <x v="5"/>
    <n v="0"/>
    <n v="35"/>
    <n v="0"/>
    <x v="2"/>
  </r>
  <r>
    <x v="10"/>
    <s v="Friday"/>
    <x v="6"/>
    <n v="0"/>
    <n v="60"/>
    <n v="0"/>
    <x v="3"/>
  </r>
  <r>
    <x v="10"/>
    <s v="Friday"/>
    <x v="7"/>
    <n v="0"/>
    <n v="120"/>
    <n v="0"/>
    <x v="3"/>
  </r>
  <r>
    <x v="10"/>
    <s v="Friday"/>
    <x v="8"/>
    <n v="0"/>
    <n v="50"/>
    <n v="0"/>
    <x v="4"/>
  </r>
  <r>
    <x v="10"/>
    <s v="Friday"/>
    <x v="9"/>
    <n v="2"/>
    <n v="250"/>
    <n v="500"/>
    <x v="5"/>
  </r>
  <r>
    <x v="10"/>
    <s v="Friday"/>
    <x v="10"/>
    <n v="0"/>
    <n v="249"/>
    <n v="0"/>
    <x v="5"/>
  </r>
  <r>
    <x v="11"/>
    <s v="Saturday"/>
    <x v="0"/>
    <n v="1"/>
    <n v="520"/>
    <n v="520"/>
    <x v="0"/>
  </r>
  <r>
    <x v="11"/>
    <s v="Saturday"/>
    <x v="1"/>
    <n v="0"/>
    <n v="248"/>
    <n v="0"/>
    <x v="0"/>
  </r>
  <r>
    <x v="11"/>
    <s v="Saturday"/>
    <x v="2"/>
    <n v="0"/>
    <n v="200"/>
    <n v="0"/>
    <x v="1"/>
  </r>
  <r>
    <x v="11"/>
    <s v="Saturday"/>
    <x v="3"/>
    <n v="0"/>
    <n v="46"/>
    <n v="0"/>
    <x v="1"/>
  </r>
  <r>
    <x v="11"/>
    <s v="Saturday"/>
    <x v="4"/>
    <n v="0"/>
    <n v="95"/>
    <n v="0"/>
    <x v="2"/>
  </r>
  <r>
    <x v="11"/>
    <s v="Saturday"/>
    <x v="5"/>
    <n v="0"/>
    <n v="35"/>
    <n v="0"/>
    <x v="2"/>
  </r>
  <r>
    <x v="11"/>
    <s v="Saturday"/>
    <x v="6"/>
    <n v="0"/>
    <n v="60"/>
    <n v="0"/>
    <x v="3"/>
  </r>
  <r>
    <x v="11"/>
    <s v="Saturday"/>
    <x v="7"/>
    <n v="0"/>
    <n v="120"/>
    <n v="0"/>
    <x v="3"/>
  </r>
  <r>
    <x v="11"/>
    <s v="Saturday"/>
    <x v="8"/>
    <n v="1"/>
    <n v="50"/>
    <n v="50"/>
    <x v="4"/>
  </r>
  <r>
    <x v="11"/>
    <s v="Saturday"/>
    <x v="9"/>
    <n v="0"/>
    <n v="250"/>
    <n v="0"/>
    <x v="5"/>
  </r>
  <r>
    <x v="11"/>
    <s v="Saturday"/>
    <x v="10"/>
    <n v="0"/>
    <n v="249"/>
    <n v="0"/>
    <x v="5"/>
  </r>
  <r>
    <x v="12"/>
    <s v="Sunday"/>
    <x v="0"/>
    <n v="0"/>
    <n v="520"/>
    <n v="0"/>
    <x v="0"/>
  </r>
  <r>
    <x v="12"/>
    <s v="Sunday"/>
    <x v="1"/>
    <n v="0"/>
    <n v="248"/>
    <n v="0"/>
    <x v="0"/>
  </r>
  <r>
    <x v="12"/>
    <s v="Sunday"/>
    <x v="2"/>
    <n v="0"/>
    <n v="200"/>
    <n v="0"/>
    <x v="1"/>
  </r>
  <r>
    <x v="12"/>
    <s v="Sunday"/>
    <x v="3"/>
    <n v="1"/>
    <n v="46"/>
    <n v="46"/>
    <x v="1"/>
  </r>
  <r>
    <x v="12"/>
    <s v="Sunday"/>
    <x v="4"/>
    <n v="0"/>
    <n v="95"/>
    <n v="0"/>
    <x v="2"/>
  </r>
  <r>
    <x v="12"/>
    <s v="Sunday"/>
    <x v="5"/>
    <n v="0"/>
    <n v="35"/>
    <n v="0"/>
    <x v="2"/>
  </r>
  <r>
    <x v="12"/>
    <s v="Sunday"/>
    <x v="6"/>
    <n v="4"/>
    <n v="60"/>
    <n v="240"/>
    <x v="3"/>
  </r>
  <r>
    <x v="12"/>
    <s v="Sunday"/>
    <x v="7"/>
    <n v="0"/>
    <n v="120"/>
    <n v="0"/>
    <x v="3"/>
  </r>
  <r>
    <x v="12"/>
    <s v="Sunday"/>
    <x v="8"/>
    <n v="3"/>
    <n v="50"/>
    <n v="150"/>
    <x v="4"/>
  </r>
  <r>
    <x v="12"/>
    <s v="Sunday"/>
    <x v="9"/>
    <n v="0"/>
    <n v="250"/>
    <n v="0"/>
    <x v="5"/>
  </r>
  <r>
    <x v="12"/>
    <s v="Sunday"/>
    <x v="10"/>
    <n v="1"/>
    <n v="249"/>
    <n v="249"/>
    <x v="5"/>
  </r>
  <r>
    <x v="13"/>
    <s v="Monday"/>
    <x v="0"/>
    <n v="0"/>
    <n v="520"/>
    <n v="0"/>
    <x v="0"/>
  </r>
  <r>
    <x v="13"/>
    <s v="Monday"/>
    <x v="1"/>
    <n v="2"/>
    <n v="248"/>
    <n v="496"/>
    <x v="0"/>
  </r>
  <r>
    <x v="13"/>
    <s v="Monday"/>
    <x v="2"/>
    <n v="0"/>
    <n v="200"/>
    <n v="0"/>
    <x v="1"/>
  </r>
  <r>
    <x v="13"/>
    <s v="Monday"/>
    <x v="3"/>
    <n v="2"/>
    <n v="46"/>
    <n v="92"/>
    <x v="1"/>
  </r>
  <r>
    <x v="13"/>
    <s v="Monday"/>
    <x v="4"/>
    <n v="1"/>
    <n v="95"/>
    <n v="95"/>
    <x v="2"/>
  </r>
  <r>
    <x v="13"/>
    <s v="Monday"/>
    <x v="5"/>
    <n v="0"/>
    <n v="35"/>
    <n v="0"/>
    <x v="2"/>
  </r>
  <r>
    <x v="13"/>
    <s v="Monday"/>
    <x v="6"/>
    <n v="3"/>
    <n v="60"/>
    <n v="180"/>
    <x v="3"/>
  </r>
  <r>
    <x v="13"/>
    <s v="Monday"/>
    <x v="7"/>
    <n v="0"/>
    <n v="120"/>
    <n v="0"/>
    <x v="3"/>
  </r>
  <r>
    <x v="13"/>
    <s v="Monday"/>
    <x v="8"/>
    <n v="0"/>
    <n v="50"/>
    <n v="0"/>
    <x v="4"/>
  </r>
  <r>
    <x v="13"/>
    <s v="Monday"/>
    <x v="9"/>
    <n v="0"/>
    <n v="250"/>
    <n v="0"/>
    <x v="5"/>
  </r>
  <r>
    <x v="13"/>
    <s v="Monday"/>
    <x v="10"/>
    <n v="1"/>
    <n v="249"/>
    <n v="249"/>
    <x v="5"/>
  </r>
  <r>
    <x v="14"/>
    <s v="Tuesday"/>
    <x v="0"/>
    <n v="2"/>
    <n v="520"/>
    <n v="1040"/>
    <x v="0"/>
  </r>
  <r>
    <x v="14"/>
    <s v="Tuesday"/>
    <x v="1"/>
    <n v="0"/>
    <n v="248"/>
    <n v="0"/>
    <x v="0"/>
  </r>
  <r>
    <x v="14"/>
    <s v="Tuesday"/>
    <x v="2"/>
    <n v="0"/>
    <n v="200"/>
    <n v="0"/>
    <x v="1"/>
  </r>
  <r>
    <x v="14"/>
    <s v="Tuesday"/>
    <x v="3"/>
    <n v="0"/>
    <n v="46"/>
    <n v="0"/>
    <x v="1"/>
  </r>
  <r>
    <x v="14"/>
    <s v="Tuesday"/>
    <x v="4"/>
    <n v="1"/>
    <n v="95"/>
    <n v="95"/>
    <x v="2"/>
  </r>
  <r>
    <x v="14"/>
    <s v="Tuesday"/>
    <x v="5"/>
    <n v="0"/>
    <n v="35"/>
    <n v="0"/>
    <x v="2"/>
  </r>
  <r>
    <x v="14"/>
    <s v="Tuesday"/>
    <x v="6"/>
    <n v="0"/>
    <n v="60"/>
    <n v="0"/>
    <x v="3"/>
  </r>
  <r>
    <x v="14"/>
    <s v="Tuesday"/>
    <x v="7"/>
    <n v="0"/>
    <n v="120"/>
    <n v="0"/>
    <x v="3"/>
  </r>
  <r>
    <x v="14"/>
    <s v="Tuesday"/>
    <x v="8"/>
    <n v="2"/>
    <n v="50"/>
    <n v="100"/>
    <x v="4"/>
  </r>
  <r>
    <x v="14"/>
    <s v="Tuesday"/>
    <x v="9"/>
    <n v="0"/>
    <n v="250"/>
    <n v="0"/>
    <x v="5"/>
  </r>
  <r>
    <x v="14"/>
    <s v="Tuesday"/>
    <x v="10"/>
    <n v="0"/>
    <n v="249"/>
    <n v="0"/>
    <x v="5"/>
  </r>
  <r>
    <x v="15"/>
    <s v="Wednesday"/>
    <x v="0"/>
    <n v="0"/>
    <n v="520"/>
    <n v="0"/>
    <x v="0"/>
  </r>
  <r>
    <x v="15"/>
    <s v="Wednesday"/>
    <x v="1"/>
    <n v="1"/>
    <n v="248"/>
    <n v="248"/>
    <x v="0"/>
  </r>
  <r>
    <x v="15"/>
    <s v="Wednesday"/>
    <x v="2"/>
    <n v="0"/>
    <n v="200"/>
    <n v="0"/>
    <x v="1"/>
  </r>
  <r>
    <x v="15"/>
    <s v="Wednesday"/>
    <x v="3"/>
    <n v="0"/>
    <n v="46"/>
    <n v="0"/>
    <x v="1"/>
  </r>
  <r>
    <x v="15"/>
    <s v="Wednesday"/>
    <x v="4"/>
    <n v="0"/>
    <n v="95"/>
    <n v="0"/>
    <x v="2"/>
  </r>
  <r>
    <x v="15"/>
    <s v="Wednesday"/>
    <x v="5"/>
    <n v="0"/>
    <n v="35"/>
    <n v="0"/>
    <x v="2"/>
  </r>
  <r>
    <x v="15"/>
    <s v="Wednesday"/>
    <x v="6"/>
    <n v="0"/>
    <n v="60"/>
    <n v="0"/>
    <x v="3"/>
  </r>
  <r>
    <x v="15"/>
    <s v="Wednesday"/>
    <x v="7"/>
    <n v="0"/>
    <n v="120"/>
    <n v="0"/>
    <x v="3"/>
  </r>
  <r>
    <x v="15"/>
    <s v="Wednesday"/>
    <x v="8"/>
    <n v="2"/>
    <n v="50"/>
    <n v="100"/>
    <x v="4"/>
  </r>
  <r>
    <x v="15"/>
    <s v="Wednesday"/>
    <x v="9"/>
    <n v="0"/>
    <n v="250"/>
    <n v="0"/>
    <x v="5"/>
  </r>
  <r>
    <x v="15"/>
    <s v="Wednesday"/>
    <x v="10"/>
    <n v="0"/>
    <n v="249"/>
    <n v="0"/>
    <x v="5"/>
  </r>
  <r>
    <x v="16"/>
    <s v="Thursday"/>
    <x v="0"/>
    <n v="0"/>
    <n v="520"/>
    <n v="0"/>
    <x v="0"/>
  </r>
  <r>
    <x v="16"/>
    <s v="Thursday"/>
    <x v="1"/>
    <n v="0"/>
    <n v="248"/>
    <n v="0"/>
    <x v="0"/>
  </r>
  <r>
    <x v="16"/>
    <s v="Thursday"/>
    <x v="2"/>
    <n v="0"/>
    <n v="200"/>
    <n v="0"/>
    <x v="1"/>
  </r>
  <r>
    <x v="16"/>
    <s v="Thursday"/>
    <x v="3"/>
    <n v="0"/>
    <n v="46"/>
    <n v="0"/>
    <x v="1"/>
  </r>
  <r>
    <x v="16"/>
    <s v="Thursday"/>
    <x v="4"/>
    <n v="0"/>
    <n v="95"/>
    <n v="0"/>
    <x v="2"/>
  </r>
  <r>
    <x v="16"/>
    <s v="Thursday"/>
    <x v="5"/>
    <n v="0"/>
    <n v="35"/>
    <n v="0"/>
    <x v="2"/>
  </r>
  <r>
    <x v="16"/>
    <s v="Thursday"/>
    <x v="6"/>
    <n v="2"/>
    <n v="60"/>
    <n v="120"/>
    <x v="3"/>
  </r>
  <r>
    <x v="16"/>
    <s v="Thursday"/>
    <x v="7"/>
    <n v="0"/>
    <n v="120"/>
    <n v="0"/>
    <x v="3"/>
  </r>
  <r>
    <x v="16"/>
    <s v="Thursday"/>
    <x v="8"/>
    <n v="0"/>
    <n v="50"/>
    <n v="0"/>
    <x v="4"/>
  </r>
  <r>
    <x v="16"/>
    <s v="Thursday"/>
    <x v="9"/>
    <n v="0"/>
    <n v="250"/>
    <n v="0"/>
    <x v="5"/>
  </r>
  <r>
    <x v="16"/>
    <s v="Thursday"/>
    <x v="10"/>
    <n v="1"/>
    <n v="249"/>
    <n v="249"/>
    <x v="5"/>
  </r>
  <r>
    <x v="17"/>
    <s v="Friday"/>
    <x v="0"/>
    <n v="0"/>
    <n v="520"/>
    <n v="0"/>
    <x v="0"/>
  </r>
  <r>
    <x v="17"/>
    <s v="Friday"/>
    <x v="1"/>
    <n v="0"/>
    <n v="248"/>
    <n v="0"/>
    <x v="0"/>
  </r>
  <r>
    <x v="17"/>
    <s v="Friday"/>
    <x v="2"/>
    <n v="0"/>
    <n v="200"/>
    <n v="0"/>
    <x v="1"/>
  </r>
  <r>
    <x v="17"/>
    <s v="Friday"/>
    <x v="3"/>
    <n v="1"/>
    <n v="46"/>
    <n v="46"/>
    <x v="1"/>
  </r>
  <r>
    <x v="17"/>
    <s v="Friday"/>
    <x v="4"/>
    <n v="1"/>
    <n v="95"/>
    <n v="95"/>
    <x v="2"/>
  </r>
  <r>
    <x v="17"/>
    <s v="Friday"/>
    <x v="5"/>
    <n v="0"/>
    <n v="35"/>
    <n v="0"/>
    <x v="2"/>
  </r>
  <r>
    <x v="17"/>
    <s v="Friday"/>
    <x v="6"/>
    <n v="1"/>
    <n v="60"/>
    <n v="60"/>
    <x v="3"/>
  </r>
  <r>
    <x v="17"/>
    <s v="Friday"/>
    <x v="7"/>
    <n v="1"/>
    <n v="120"/>
    <n v="120"/>
    <x v="3"/>
  </r>
  <r>
    <x v="17"/>
    <s v="Friday"/>
    <x v="8"/>
    <n v="2"/>
    <n v="50"/>
    <n v="100"/>
    <x v="4"/>
  </r>
  <r>
    <x v="17"/>
    <s v="Friday"/>
    <x v="9"/>
    <n v="1"/>
    <n v="250"/>
    <n v="250"/>
    <x v="5"/>
  </r>
  <r>
    <x v="17"/>
    <s v="Friday"/>
    <x v="10"/>
    <n v="0"/>
    <n v="249"/>
    <n v="0"/>
    <x v="5"/>
  </r>
  <r>
    <x v="18"/>
    <s v="Saturday"/>
    <x v="0"/>
    <n v="0"/>
    <n v="520"/>
    <n v="0"/>
    <x v="0"/>
  </r>
  <r>
    <x v="18"/>
    <s v="Saturday"/>
    <x v="1"/>
    <n v="0"/>
    <n v="248"/>
    <n v="0"/>
    <x v="0"/>
  </r>
  <r>
    <x v="18"/>
    <s v="Saturday"/>
    <x v="2"/>
    <n v="0"/>
    <n v="200"/>
    <n v="0"/>
    <x v="1"/>
  </r>
  <r>
    <x v="18"/>
    <s v="Saturday"/>
    <x v="3"/>
    <n v="0"/>
    <n v="46"/>
    <n v="0"/>
    <x v="1"/>
  </r>
  <r>
    <x v="18"/>
    <s v="Saturday"/>
    <x v="4"/>
    <n v="0"/>
    <n v="95"/>
    <n v="0"/>
    <x v="2"/>
  </r>
  <r>
    <x v="18"/>
    <s v="Saturday"/>
    <x v="5"/>
    <n v="0"/>
    <n v="35"/>
    <n v="0"/>
    <x v="2"/>
  </r>
  <r>
    <x v="18"/>
    <s v="Saturday"/>
    <x v="6"/>
    <n v="0"/>
    <n v="60"/>
    <n v="0"/>
    <x v="3"/>
  </r>
  <r>
    <x v="18"/>
    <s v="Saturday"/>
    <x v="7"/>
    <n v="0"/>
    <n v="120"/>
    <n v="0"/>
    <x v="3"/>
  </r>
  <r>
    <x v="18"/>
    <s v="Saturday"/>
    <x v="8"/>
    <n v="2"/>
    <n v="50"/>
    <n v="100"/>
    <x v="4"/>
  </r>
  <r>
    <x v="18"/>
    <s v="Saturday"/>
    <x v="9"/>
    <n v="0"/>
    <n v="250"/>
    <n v="0"/>
    <x v="5"/>
  </r>
  <r>
    <x v="18"/>
    <s v="Saturday"/>
    <x v="10"/>
    <n v="1"/>
    <n v="249"/>
    <n v="249"/>
    <x v="5"/>
  </r>
  <r>
    <x v="19"/>
    <s v="Sunday"/>
    <x v="0"/>
    <n v="1"/>
    <n v="520"/>
    <n v="520"/>
    <x v="0"/>
  </r>
  <r>
    <x v="19"/>
    <s v="Sunday"/>
    <x v="1"/>
    <n v="0"/>
    <n v="248"/>
    <n v="0"/>
    <x v="0"/>
  </r>
  <r>
    <x v="19"/>
    <s v="Sunday"/>
    <x v="2"/>
    <n v="0"/>
    <n v="200"/>
    <n v="0"/>
    <x v="1"/>
  </r>
  <r>
    <x v="19"/>
    <s v="Sunday"/>
    <x v="3"/>
    <n v="1"/>
    <n v="46"/>
    <n v="46"/>
    <x v="1"/>
  </r>
  <r>
    <x v="19"/>
    <s v="Sunday"/>
    <x v="4"/>
    <n v="0"/>
    <n v="95"/>
    <n v="0"/>
    <x v="2"/>
  </r>
  <r>
    <x v="19"/>
    <s v="Sunday"/>
    <x v="5"/>
    <n v="0"/>
    <n v="35"/>
    <n v="0"/>
    <x v="2"/>
  </r>
  <r>
    <x v="19"/>
    <s v="Sunday"/>
    <x v="6"/>
    <n v="2"/>
    <n v="60"/>
    <n v="120"/>
    <x v="3"/>
  </r>
  <r>
    <x v="19"/>
    <s v="Sunday"/>
    <x v="7"/>
    <n v="1"/>
    <n v="120"/>
    <n v="120"/>
    <x v="3"/>
  </r>
  <r>
    <x v="19"/>
    <s v="Sunday"/>
    <x v="8"/>
    <n v="1"/>
    <n v="50"/>
    <n v="50"/>
    <x v="4"/>
  </r>
  <r>
    <x v="19"/>
    <s v="Sunday"/>
    <x v="9"/>
    <n v="0"/>
    <n v="250"/>
    <n v="0"/>
    <x v="5"/>
  </r>
  <r>
    <x v="19"/>
    <s v="Sunday"/>
    <x v="10"/>
    <n v="0"/>
    <n v="249"/>
    <n v="0"/>
    <x v="5"/>
  </r>
  <r>
    <x v="20"/>
    <s v="Monday"/>
    <x v="0"/>
    <n v="0"/>
    <n v="520"/>
    <n v="0"/>
    <x v="0"/>
  </r>
  <r>
    <x v="20"/>
    <s v="Monday"/>
    <x v="1"/>
    <n v="1"/>
    <n v="248"/>
    <n v="248"/>
    <x v="0"/>
  </r>
  <r>
    <x v="20"/>
    <s v="Monday"/>
    <x v="2"/>
    <n v="0"/>
    <n v="200"/>
    <n v="0"/>
    <x v="1"/>
  </r>
  <r>
    <x v="20"/>
    <s v="Monday"/>
    <x v="3"/>
    <n v="1"/>
    <n v="46"/>
    <n v="46"/>
    <x v="1"/>
  </r>
  <r>
    <x v="20"/>
    <s v="Monday"/>
    <x v="4"/>
    <n v="0"/>
    <n v="95"/>
    <n v="0"/>
    <x v="2"/>
  </r>
  <r>
    <x v="20"/>
    <s v="Monday"/>
    <x v="5"/>
    <n v="0"/>
    <n v="35"/>
    <n v="0"/>
    <x v="2"/>
  </r>
  <r>
    <x v="20"/>
    <s v="Monday"/>
    <x v="6"/>
    <n v="2"/>
    <n v="60"/>
    <n v="120"/>
    <x v="3"/>
  </r>
  <r>
    <x v="20"/>
    <s v="Monday"/>
    <x v="7"/>
    <n v="0"/>
    <n v="120"/>
    <n v="0"/>
    <x v="3"/>
  </r>
  <r>
    <x v="20"/>
    <s v="Monday"/>
    <x v="8"/>
    <n v="2"/>
    <n v="50"/>
    <n v="100"/>
    <x v="4"/>
  </r>
  <r>
    <x v="20"/>
    <s v="Monday"/>
    <x v="9"/>
    <n v="0"/>
    <n v="250"/>
    <n v="0"/>
    <x v="5"/>
  </r>
  <r>
    <x v="20"/>
    <s v="Monday"/>
    <x v="10"/>
    <n v="1"/>
    <n v="249"/>
    <n v="249"/>
    <x v="5"/>
  </r>
  <r>
    <x v="21"/>
    <s v="Tuesday"/>
    <x v="0"/>
    <n v="0"/>
    <n v="520"/>
    <n v="0"/>
    <x v="0"/>
  </r>
  <r>
    <x v="21"/>
    <s v="Tuesday"/>
    <x v="1"/>
    <n v="0"/>
    <n v="248"/>
    <n v="0"/>
    <x v="0"/>
  </r>
  <r>
    <x v="21"/>
    <s v="Tuesday"/>
    <x v="2"/>
    <n v="0"/>
    <n v="200"/>
    <n v="0"/>
    <x v="1"/>
  </r>
  <r>
    <x v="21"/>
    <s v="Tuesday"/>
    <x v="3"/>
    <n v="0"/>
    <n v="46"/>
    <n v="0"/>
    <x v="1"/>
  </r>
  <r>
    <x v="21"/>
    <s v="Tuesday"/>
    <x v="4"/>
    <n v="1"/>
    <n v="95"/>
    <n v="95"/>
    <x v="2"/>
  </r>
  <r>
    <x v="21"/>
    <s v="Tuesday"/>
    <x v="5"/>
    <n v="0"/>
    <n v="35"/>
    <n v="0"/>
    <x v="2"/>
  </r>
  <r>
    <x v="21"/>
    <s v="Tuesday"/>
    <x v="6"/>
    <n v="1"/>
    <n v="60"/>
    <n v="60"/>
    <x v="3"/>
  </r>
  <r>
    <x v="21"/>
    <s v="Tuesday"/>
    <x v="7"/>
    <n v="0"/>
    <n v="120"/>
    <n v="0"/>
    <x v="3"/>
  </r>
  <r>
    <x v="21"/>
    <s v="Tuesday"/>
    <x v="8"/>
    <n v="1"/>
    <n v="50"/>
    <n v="50"/>
    <x v="4"/>
  </r>
  <r>
    <x v="21"/>
    <s v="Tuesday"/>
    <x v="9"/>
    <n v="1"/>
    <n v="250"/>
    <n v="250"/>
    <x v="5"/>
  </r>
  <r>
    <x v="21"/>
    <s v="Tuesday"/>
    <x v="10"/>
    <n v="0"/>
    <n v="249"/>
    <n v="0"/>
    <x v="5"/>
  </r>
  <r>
    <x v="22"/>
    <s v="Wednesday"/>
    <x v="0"/>
    <n v="0"/>
    <n v="520"/>
    <n v="0"/>
    <x v="0"/>
  </r>
  <r>
    <x v="22"/>
    <s v="Wednesday"/>
    <x v="1"/>
    <n v="0"/>
    <n v="248"/>
    <n v="0"/>
    <x v="0"/>
  </r>
  <r>
    <x v="22"/>
    <s v="Wednesday"/>
    <x v="2"/>
    <n v="0"/>
    <n v="200"/>
    <n v="0"/>
    <x v="1"/>
  </r>
  <r>
    <x v="22"/>
    <s v="Wednesday"/>
    <x v="3"/>
    <n v="0"/>
    <n v="46"/>
    <n v="0"/>
    <x v="1"/>
  </r>
  <r>
    <x v="22"/>
    <s v="Wednesday"/>
    <x v="4"/>
    <n v="0"/>
    <n v="95"/>
    <n v="0"/>
    <x v="2"/>
  </r>
  <r>
    <x v="22"/>
    <s v="Wednesday"/>
    <x v="5"/>
    <n v="1"/>
    <n v="35"/>
    <n v="35"/>
    <x v="2"/>
  </r>
  <r>
    <x v="22"/>
    <s v="Wednesday"/>
    <x v="6"/>
    <n v="0"/>
    <n v="60"/>
    <n v="0"/>
    <x v="3"/>
  </r>
  <r>
    <x v="22"/>
    <s v="Wednesday"/>
    <x v="7"/>
    <n v="0"/>
    <n v="120"/>
    <n v="0"/>
    <x v="3"/>
  </r>
  <r>
    <x v="22"/>
    <s v="Wednesday"/>
    <x v="8"/>
    <n v="1"/>
    <n v="50"/>
    <n v="50"/>
    <x v="4"/>
  </r>
  <r>
    <x v="22"/>
    <s v="Wednesday"/>
    <x v="9"/>
    <n v="0"/>
    <n v="250"/>
    <n v="0"/>
    <x v="5"/>
  </r>
  <r>
    <x v="22"/>
    <s v="Wednesday"/>
    <x v="10"/>
    <n v="0"/>
    <n v="249"/>
    <n v="0"/>
    <x v="5"/>
  </r>
  <r>
    <x v="23"/>
    <s v="Thursday"/>
    <x v="0"/>
    <n v="0"/>
    <n v="520"/>
    <n v="0"/>
    <x v="0"/>
  </r>
  <r>
    <x v="23"/>
    <s v="Thursday"/>
    <x v="1"/>
    <n v="2"/>
    <n v="248"/>
    <n v="496"/>
    <x v="0"/>
  </r>
  <r>
    <x v="23"/>
    <s v="Thursday"/>
    <x v="2"/>
    <n v="1"/>
    <n v="200"/>
    <n v="200"/>
    <x v="1"/>
  </r>
  <r>
    <x v="23"/>
    <s v="Thursday"/>
    <x v="3"/>
    <n v="0"/>
    <n v="46"/>
    <n v="0"/>
    <x v="1"/>
  </r>
  <r>
    <x v="23"/>
    <s v="Thursday"/>
    <x v="4"/>
    <n v="0"/>
    <n v="95"/>
    <n v="0"/>
    <x v="2"/>
  </r>
  <r>
    <x v="23"/>
    <s v="Thursday"/>
    <x v="5"/>
    <n v="0"/>
    <n v="35"/>
    <n v="0"/>
    <x v="2"/>
  </r>
  <r>
    <x v="23"/>
    <s v="Thursday"/>
    <x v="6"/>
    <n v="0"/>
    <n v="60"/>
    <n v="0"/>
    <x v="3"/>
  </r>
  <r>
    <x v="23"/>
    <s v="Thursday"/>
    <x v="7"/>
    <n v="0"/>
    <n v="120"/>
    <n v="0"/>
    <x v="3"/>
  </r>
  <r>
    <x v="23"/>
    <s v="Thursday"/>
    <x v="8"/>
    <n v="1"/>
    <n v="50"/>
    <n v="50"/>
    <x v="4"/>
  </r>
  <r>
    <x v="23"/>
    <s v="Thursday"/>
    <x v="9"/>
    <n v="0"/>
    <n v="250"/>
    <n v="0"/>
    <x v="5"/>
  </r>
  <r>
    <x v="23"/>
    <s v="Thursday"/>
    <x v="10"/>
    <n v="1"/>
    <n v="249"/>
    <n v="249"/>
    <x v="5"/>
  </r>
  <r>
    <x v="24"/>
    <s v="Friday"/>
    <x v="0"/>
    <n v="0"/>
    <n v="520"/>
    <n v="0"/>
    <x v="0"/>
  </r>
  <r>
    <x v="24"/>
    <s v="Friday"/>
    <x v="1"/>
    <n v="0"/>
    <n v="248"/>
    <n v="0"/>
    <x v="0"/>
  </r>
  <r>
    <x v="24"/>
    <s v="Friday"/>
    <x v="2"/>
    <n v="0"/>
    <n v="200"/>
    <n v="0"/>
    <x v="1"/>
  </r>
  <r>
    <x v="24"/>
    <s v="Friday"/>
    <x v="3"/>
    <n v="0"/>
    <n v="46"/>
    <n v="0"/>
    <x v="1"/>
  </r>
  <r>
    <x v="24"/>
    <s v="Friday"/>
    <x v="4"/>
    <n v="1"/>
    <n v="95"/>
    <n v="95"/>
    <x v="2"/>
  </r>
  <r>
    <x v="24"/>
    <s v="Friday"/>
    <x v="5"/>
    <n v="0"/>
    <n v="35"/>
    <n v="0"/>
    <x v="2"/>
  </r>
  <r>
    <x v="24"/>
    <s v="Friday"/>
    <x v="6"/>
    <n v="2"/>
    <n v="60"/>
    <n v="120"/>
    <x v="3"/>
  </r>
  <r>
    <x v="24"/>
    <s v="Friday"/>
    <x v="7"/>
    <n v="0"/>
    <n v="120"/>
    <n v="0"/>
    <x v="3"/>
  </r>
  <r>
    <x v="24"/>
    <s v="Friday"/>
    <x v="8"/>
    <n v="0"/>
    <n v="50"/>
    <n v="0"/>
    <x v="4"/>
  </r>
  <r>
    <x v="24"/>
    <s v="Friday"/>
    <x v="9"/>
    <n v="1"/>
    <n v="250"/>
    <n v="250"/>
    <x v="5"/>
  </r>
  <r>
    <x v="24"/>
    <s v="Friday"/>
    <x v="10"/>
    <n v="2"/>
    <n v="249"/>
    <n v="498"/>
    <x v="5"/>
  </r>
  <r>
    <x v="25"/>
    <s v="Saturday"/>
    <x v="0"/>
    <n v="0"/>
    <n v="520"/>
    <n v="0"/>
    <x v="0"/>
  </r>
  <r>
    <x v="25"/>
    <s v="Saturday"/>
    <x v="1"/>
    <n v="0"/>
    <n v="248"/>
    <n v="0"/>
    <x v="0"/>
  </r>
  <r>
    <x v="25"/>
    <s v="Saturday"/>
    <x v="2"/>
    <n v="0"/>
    <n v="200"/>
    <n v="0"/>
    <x v="1"/>
  </r>
  <r>
    <x v="25"/>
    <s v="Saturday"/>
    <x v="3"/>
    <n v="5"/>
    <n v="46"/>
    <n v="230"/>
    <x v="1"/>
  </r>
  <r>
    <x v="25"/>
    <s v="Saturday"/>
    <x v="4"/>
    <n v="0"/>
    <n v="95"/>
    <n v="0"/>
    <x v="2"/>
  </r>
  <r>
    <x v="25"/>
    <s v="Saturday"/>
    <x v="5"/>
    <n v="0"/>
    <n v="35"/>
    <n v="0"/>
    <x v="2"/>
  </r>
  <r>
    <x v="25"/>
    <s v="Saturday"/>
    <x v="6"/>
    <n v="1"/>
    <n v="60"/>
    <n v="60"/>
    <x v="3"/>
  </r>
  <r>
    <x v="25"/>
    <s v="Saturday"/>
    <x v="7"/>
    <n v="0"/>
    <n v="120"/>
    <n v="0"/>
    <x v="3"/>
  </r>
  <r>
    <x v="25"/>
    <s v="Saturday"/>
    <x v="8"/>
    <n v="2"/>
    <n v="50"/>
    <n v="100"/>
    <x v="4"/>
  </r>
  <r>
    <x v="25"/>
    <s v="Saturday"/>
    <x v="9"/>
    <n v="0"/>
    <n v="250"/>
    <n v="0"/>
    <x v="5"/>
  </r>
  <r>
    <x v="25"/>
    <s v="Saturday"/>
    <x v="10"/>
    <n v="0"/>
    <n v="249"/>
    <n v="0"/>
    <x v="5"/>
  </r>
  <r>
    <x v="26"/>
    <s v="Sunday"/>
    <x v="0"/>
    <n v="2"/>
    <n v="520"/>
    <n v="1040"/>
    <x v="0"/>
  </r>
  <r>
    <x v="26"/>
    <s v="Sunday"/>
    <x v="1"/>
    <n v="0"/>
    <n v="248"/>
    <n v="0"/>
    <x v="0"/>
  </r>
  <r>
    <x v="26"/>
    <s v="Sunday"/>
    <x v="2"/>
    <n v="0"/>
    <n v="200"/>
    <n v="0"/>
    <x v="1"/>
  </r>
  <r>
    <x v="26"/>
    <s v="Sunday"/>
    <x v="3"/>
    <n v="0"/>
    <n v="46"/>
    <n v="0"/>
    <x v="1"/>
  </r>
  <r>
    <x v="26"/>
    <s v="Sunday"/>
    <x v="4"/>
    <n v="1"/>
    <n v="95"/>
    <n v="95"/>
    <x v="2"/>
  </r>
  <r>
    <x v="26"/>
    <s v="Sunday"/>
    <x v="5"/>
    <n v="1"/>
    <n v="35"/>
    <n v="35"/>
    <x v="2"/>
  </r>
  <r>
    <x v="26"/>
    <s v="Sunday"/>
    <x v="6"/>
    <n v="0"/>
    <n v="60"/>
    <n v="0"/>
    <x v="3"/>
  </r>
  <r>
    <x v="26"/>
    <s v="Sunday"/>
    <x v="7"/>
    <n v="0"/>
    <n v="120"/>
    <n v="0"/>
    <x v="3"/>
  </r>
  <r>
    <x v="26"/>
    <s v="Sunday"/>
    <x v="8"/>
    <n v="1"/>
    <n v="50"/>
    <n v="50"/>
    <x v="4"/>
  </r>
  <r>
    <x v="26"/>
    <s v="Sunday"/>
    <x v="9"/>
    <n v="0"/>
    <n v="250"/>
    <n v="0"/>
    <x v="5"/>
  </r>
  <r>
    <x v="26"/>
    <s v="Sunday"/>
    <x v="10"/>
    <n v="0"/>
    <n v="249"/>
    <n v="0"/>
    <x v="5"/>
  </r>
  <r>
    <x v="27"/>
    <s v="Monday"/>
    <x v="0"/>
    <n v="0"/>
    <n v="520"/>
    <n v="0"/>
    <x v="0"/>
  </r>
  <r>
    <x v="27"/>
    <s v="Monday"/>
    <x v="1"/>
    <n v="1"/>
    <n v="248"/>
    <n v="248"/>
    <x v="0"/>
  </r>
  <r>
    <x v="27"/>
    <s v="Monday"/>
    <x v="2"/>
    <n v="0"/>
    <n v="200"/>
    <n v="0"/>
    <x v="1"/>
  </r>
  <r>
    <x v="27"/>
    <s v="Monday"/>
    <x v="3"/>
    <n v="0"/>
    <n v="46"/>
    <n v="0"/>
    <x v="1"/>
  </r>
  <r>
    <x v="27"/>
    <s v="Monday"/>
    <x v="4"/>
    <n v="0"/>
    <n v="95"/>
    <n v="0"/>
    <x v="2"/>
  </r>
  <r>
    <x v="27"/>
    <s v="Monday"/>
    <x v="5"/>
    <n v="0"/>
    <n v="35"/>
    <n v="0"/>
    <x v="2"/>
  </r>
  <r>
    <x v="27"/>
    <s v="Monday"/>
    <x v="6"/>
    <n v="0"/>
    <n v="60"/>
    <n v="0"/>
    <x v="3"/>
  </r>
  <r>
    <x v="27"/>
    <s v="Monday"/>
    <x v="7"/>
    <n v="0"/>
    <n v="120"/>
    <n v="0"/>
    <x v="3"/>
  </r>
  <r>
    <x v="27"/>
    <s v="Monday"/>
    <x v="8"/>
    <n v="1"/>
    <n v="50"/>
    <n v="50"/>
    <x v="4"/>
  </r>
  <r>
    <x v="27"/>
    <s v="Monday"/>
    <x v="9"/>
    <n v="2"/>
    <n v="250"/>
    <n v="500"/>
    <x v="5"/>
  </r>
  <r>
    <x v="27"/>
    <s v="Monday"/>
    <x v="10"/>
    <n v="1"/>
    <n v="249"/>
    <n v="249"/>
    <x v="5"/>
  </r>
  <r>
    <x v="28"/>
    <s v="Tuesday"/>
    <x v="0"/>
    <n v="0"/>
    <n v="520"/>
    <n v="0"/>
    <x v="0"/>
  </r>
  <r>
    <x v="28"/>
    <s v="Tuesday"/>
    <x v="1"/>
    <n v="1"/>
    <n v="248"/>
    <n v="248"/>
    <x v="0"/>
  </r>
  <r>
    <x v="28"/>
    <s v="Tuesday"/>
    <x v="2"/>
    <n v="0"/>
    <n v="200"/>
    <n v="0"/>
    <x v="1"/>
  </r>
  <r>
    <x v="28"/>
    <s v="Tuesday"/>
    <x v="3"/>
    <n v="2"/>
    <n v="46"/>
    <n v="92"/>
    <x v="1"/>
  </r>
  <r>
    <x v="28"/>
    <s v="Tuesday"/>
    <x v="4"/>
    <n v="1"/>
    <n v="95"/>
    <n v="95"/>
    <x v="2"/>
  </r>
  <r>
    <x v="28"/>
    <s v="Tuesday"/>
    <x v="5"/>
    <n v="1"/>
    <n v="35"/>
    <n v="35"/>
    <x v="2"/>
  </r>
  <r>
    <x v="28"/>
    <s v="Tuesday"/>
    <x v="6"/>
    <n v="0"/>
    <n v="60"/>
    <n v="0"/>
    <x v="3"/>
  </r>
  <r>
    <x v="28"/>
    <s v="Tuesday"/>
    <x v="7"/>
    <n v="2"/>
    <n v="120"/>
    <n v="240"/>
    <x v="3"/>
  </r>
  <r>
    <x v="28"/>
    <s v="Tuesday"/>
    <x v="8"/>
    <n v="1"/>
    <n v="50"/>
    <n v="50"/>
    <x v="4"/>
  </r>
  <r>
    <x v="28"/>
    <s v="Tuesday"/>
    <x v="9"/>
    <n v="1"/>
    <n v="250"/>
    <n v="250"/>
    <x v="5"/>
  </r>
  <r>
    <x v="28"/>
    <s v="Tuesday"/>
    <x v="10"/>
    <n v="1"/>
    <n v="249"/>
    <n v="249"/>
    <x v="5"/>
  </r>
  <r>
    <x v="29"/>
    <s v="Wednesday"/>
    <x v="0"/>
    <n v="0"/>
    <n v="520"/>
    <n v="0"/>
    <x v="0"/>
  </r>
  <r>
    <x v="29"/>
    <s v="Wednesday"/>
    <x v="1"/>
    <n v="0"/>
    <n v="248"/>
    <n v="0"/>
    <x v="0"/>
  </r>
  <r>
    <x v="29"/>
    <s v="Wednesday"/>
    <x v="2"/>
    <n v="0"/>
    <n v="200"/>
    <n v="0"/>
    <x v="1"/>
  </r>
  <r>
    <x v="29"/>
    <s v="Wednesday"/>
    <x v="3"/>
    <n v="0"/>
    <n v="46"/>
    <n v="0"/>
    <x v="1"/>
  </r>
  <r>
    <x v="29"/>
    <s v="Wednesday"/>
    <x v="4"/>
    <n v="0"/>
    <n v="95"/>
    <n v="0"/>
    <x v="2"/>
  </r>
  <r>
    <x v="29"/>
    <s v="Wednesday"/>
    <x v="5"/>
    <n v="0"/>
    <n v="35"/>
    <n v="0"/>
    <x v="2"/>
  </r>
  <r>
    <x v="29"/>
    <s v="Wednesday"/>
    <x v="6"/>
    <n v="1"/>
    <n v="60"/>
    <n v="60"/>
    <x v="3"/>
  </r>
  <r>
    <x v="29"/>
    <s v="Wednesday"/>
    <x v="7"/>
    <n v="0"/>
    <n v="120"/>
    <n v="0"/>
    <x v="3"/>
  </r>
  <r>
    <x v="29"/>
    <s v="Wednesday"/>
    <x v="8"/>
    <n v="0"/>
    <n v="50"/>
    <n v="0"/>
    <x v="4"/>
  </r>
  <r>
    <x v="29"/>
    <s v="Wednesday"/>
    <x v="9"/>
    <n v="1"/>
    <n v="250"/>
    <n v="250"/>
    <x v="5"/>
  </r>
  <r>
    <x v="29"/>
    <s v="Wednesday"/>
    <x v="10"/>
    <n v="0"/>
    <n v="249"/>
    <n v="0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s v="Head and Shoulder 650ml"/>
    <n v="1"/>
    <n v="520"/>
    <n v="520"/>
    <x v="0"/>
    <n v="20"/>
  </r>
  <r>
    <x v="0"/>
    <x v="0"/>
    <s v="Indulekha Hair Oil 100ml"/>
    <n v="0"/>
    <n v="248"/>
    <n v="0"/>
    <x v="0"/>
    <n v="0"/>
  </r>
  <r>
    <x v="0"/>
    <x v="0"/>
    <s v="Listerine Mouthwash 250ml"/>
    <n v="0"/>
    <n v="200"/>
    <n v="0"/>
    <x v="1"/>
    <n v="0"/>
  </r>
  <r>
    <x v="0"/>
    <x v="0"/>
    <s v="Toothpastes"/>
    <n v="1"/>
    <n v="46"/>
    <n v="46"/>
    <x v="1"/>
    <n v="16"/>
  </r>
  <r>
    <x v="0"/>
    <x v="0"/>
    <s v="Vaseline 100ml"/>
    <n v="0"/>
    <n v="95"/>
    <n v="0"/>
    <x v="2"/>
    <n v="0"/>
  </r>
  <r>
    <x v="0"/>
    <x v="0"/>
    <s v="Boroline 20g"/>
    <n v="0"/>
    <n v="35"/>
    <n v="0"/>
    <x v="2"/>
    <n v="0"/>
  </r>
  <r>
    <x v="0"/>
    <x v="0"/>
    <s v="Pampers Diapers Pack"/>
    <n v="1"/>
    <n v="60"/>
    <n v="60"/>
    <x v="3"/>
    <n v="20"/>
  </r>
  <r>
    <x v="0"/>
    <x v="0"/>
    <s v="Johnson's Baby Powder 100g"/>
    <n v="1"/>
    <n v="120"/>
    <n v="120"/>
    <x v="3"/>
    <n v="10"/>
  </r>
  <r>
    <x v="0"/>
    <x v="0"/>
    <s v="Dettol Soap 100g"/>
    <n v="0"/>
    <n v="50"/>
    <n v="0"/>
    <x v="4"/>
    <n v="0"/>
  </r>
  <r>
    <x v="0"/>
    <x v="0"/>
    <s v="Bournvita 550g"/>
    <n v="0"/>
    <n v="250"/>
    <n v="0"/>
    <x v="5"/>
    <n v="0"/>
  </r>
  <r>
    <x v="0"/>
    <x v="0"/>
    <s v="Horlicks 500g"/>
    <n v="1"/>
    <n v="249"/>
    <n v="249"/>
    <x v="5"/>
    <n v="49"/>
  </r>
  <r>
    <x v="1"/>
    <x v="1"/>
    <s v="Head and Shoulder 650ml"/>
    <n v="0"/>
    <n v="520"/>
    <n v="0"/>
    <x v="0"/>
    <n v="0"/>
  </r>
  <r>
    <x v="1"/>
    <x v="1"/>
    <s v="Indulekha Hair Oil 100ml"/>
    <n v="0"/>
    <n v="248"/>
    <n v="0"/>
    <x v="0"/>
    <n v="0"/>
  </r>
  <r>
    <x v="1"/>
    <x v="1"/>
    <s v="Listerine Mouthwash 250ml"/>
    <n v="0"/>
    <n v="200"/>
    <n v="0"/>
    <x v="1"/>
    <n v="0"/>
  </r>
  <r>
    <x v="1"/>
    <x v="1"/>
    <s v="Toothpastes"/>
    <n v="0"/>
    <n v="46"/>
    <n v="0"/>
    <x v="1"/>
    <n v="0"/>
  </r>
  <r>
    <x v="1"/>
    <x v="1"/>
    <s v="Vaseline 100ml"/>
    <n v="0"/>
    <n v="95"/>
    <n v="0"/>
    <x v="2"/>
    <n v="0"/>
  </r>
  <r>
    <x v="1"/>
    <x v="1"/>
    <s v="Boroline 20g"/>
    <n v="0"/>
    <n v="35"/>
    <n v="0"/>
    <x v="2"/>
    <n v="0"/>
  </r>
  <r>
    <x v="1"/>
    <x v="1"/>
    <s v="Pampers Diapers Pack"/>
    <n v="1"/>
    <n v="60"/>
    <n v="60"/>
    <x v="3"/>
    <n v="20"/>
  </r>
  <r>
    <x v="1"/>
    <x v="1"/>
    <s v="Johnson's Baby Powder 100g"/>
    <n v="0"/>
    <n v="120"/>
    <n v="0"/>
    <x v="3"/>
    <n v="0"/>
  </r>
  <r>
    <x v="1"/>
    <x v="1"/>
    <s v="Dettol Soap 100g"/>
    <n v="0"/>
    <n v="50"/>
    <n v="0"/>
    <x v="4"/>
    <n v="0"/>
  </r>
  <r>
    <x v="1"/>
    <x v="1"/>
    <s v="Bournvita 550g"/>
    <n v="0"/>
    <n v="250"/>
    <n v="0"/>
    <x v="5"/>
    <n v="0"/>
  </r>
  <r>
    <x v="1"/>
    <x v="1"/>
    <s v="Horlicks 500g"/>
    <n v="0"/>
    <n v="249"/>
    <n v="0"/>
    <x v="5"/>
    <n v="0"/>
  </r>
  <r>
    <x v="2"/>
    <x v="2"/>
    <s v="Head and Shoulder 650ml"/>
    <n v="0"/>
    <n v="520"/>
    <n v="0"/>
    <x v="0"/>
    <n v="0"/>
  </r>
  <r>
    <x v="2"/>
    <x v="2"/>
    <s v="Indulekha Hair Oil 100ml"/>
    <n v="0"/>
    <n v="248"/>
    <n v="0"/>
    <x v="0"/>
    <n v="0"/>
  </r>
  <r>
    <x v="2"/>
    <x v="2"/>
    <s v="Listerine Mouthwash 250ml"/>
    <n v="0"/>
    <n v="200"/>
    <n v="0"/>
    <x v="1"/>
    <n v="0"/>
  </r>
  <r>
    <x v="2"/>
    <x v="2"/>
    <s v="Toothpastes"/>
    <n v="2"/>
    <n v="46"/>
    <n v="92"/>
    <x v="1"/>
    <n v="32"/>
  </r>
  <r>
    <x v="2"/>
    <x v="2"/>
    <s v="Vaseline 100ml"/>
    <n v="0"/>
    <n v="95"/>
    <n v="0"/>
    <x v="2"/>
    <n v="0"/>
  </r>
  <r>
    <x v="2"/>
    <x v="2"/>
    <s v="Boroline 20g"/>
    <n v="0"/>
    <n v="35"/>
    <n v="0"/>
    <x v="2"/>
    <n v="0"/>
  </r>
  <r>
    <x v="2"/>
    <x v="2"/>
    <s v="Pampers Diapers Pack"/>
    <n v="2"/>
    <n v="60"/>
    <n v="120"/>
    <x v="3"/>
    <n v="40"/>
  </r>
  <r>
    <x v="2"/>
    <x v="2"/>
    <s v="Johnson's Baby Powder 100g"/>
    <n v="0"/>
    <n v="120"/>
    <n v="0"/>
    <x v="3"/>
    <n v="0"/>
  </r>
  <r>
    <x v="2"/>
    <x v="2"/>
    <s v="Dettol Soap 100g"/>
    <n v="0"/>
    <n v="50"/>
    <n v="0"/>
    <x v="4"/>
    <n v="0"/>
  </r>
  <r>
    <x v="2"/>
    <x v="2"/>
    <s v="Bournvita 550g"/>
    <n v="1"/>
    <n v="250"/>
    <n v="250"/>
    <x v="5"/>
    <n v="40"/>
  </r>
  <r>
    <x v="2"/>
    <x v="2"/>
    <s v="Horlicks 500g"/>
    <n v="0"/>
    <n v="249"/>
    <n v="0"/>
    <x v="5"/>
    <n v="0"/>
  </r>
  <r>
    <x v="3"/>
    <x v="3"/>
    <s v="Head and Shoulder 650ml"/>
    <n v="0"/>
    <n v="520"/>
    <n v="0"/>
    <x v="0"/>
    <n v="0"/>
  </r>
  <r>
    <x v="3"/>
    <x v="3"/>
    <s v="Indulekha Hair Oil 100ml"/>
    <n v="0"/>
    <n v="248"/>
    <n v="0"/>
    <x v="0"/>
    <n v="0"/>
  </r>
  <r>
    <x v="3"/>
    <x v="3"/>
    <s v="Listerine Mouthwash 250ml"/>
    <n v="0"/>
    <n v="200"/>
    <n v="0"/>
    <x v="1"/>
    <n v="0"/>
  </r>
  <r>
    <x v="3"/>
    <x v="3"/>
    <s v="Toothpastes"/>
    <n v="0"/>
    <n v="46"/>
    <n v="0"/>
    <x v="1"/>
    <n v="0"/>
  </r>
  <r>
    <x v="3"/>
    <x v="3"/>
    <s v="Vaseline 100ml"/>
    <n v="0"/>
    <n v="95"/>
    <n v="0"/>
    <x v="2"/>
    <n v="0"/>
  </r>
  <r>
    <x v="3"/>
    <x v="3"/>
    <s v="Boroline 20g"/>
    <n v="0"/>
    <n v="35"/>
    <n v="0"/>
    <x v="2"/>
    <n v="0"/>
  </r>
  <r>
    <x v="3"/>
    <x v="3"/>
    <s v="Pampers Diapers Pack"/>
    <n v="0"/>
    <n v="60"/>
    <n v="0"/>
    <x v="3"/>
    <n v="0"/>
  </r>
  <r>
    <x v="3"/>
    <x v="3"/>
    <s v="Johnson's Baby Powder 100g"/>
    <n v="0"/>
    <n v="120"/>
    <n v="0"/>
    <x v="3"/>
    <n v="0"/>
  </r>
  <r>
    <x v="3"/>
    <x v="3"/>
    <s v="Dettol Soap 100g"/>
    <n v="1"/>
    <n v="50"/>
    <n v="50"/>
    <x v="4"/>
    <n v="12"/>
  </r>
  <r>
    <x v="3"/>
    <x v="3"/>
    <s v="Bournvita 550g"/>
    <n v="1"/>
    <n v="250"/>
    <n v="250"/>
    <x v="5"/>
    <n v="40"/>
  </r>
  <r>
    <x v="3"/>
    <x v="3"/>
    <s v="Horlicks 500g"/>
    <n v="0"/>
    <n v="249"/>
    <n v="0"/>
    <x v="5"/>
    <n v="0"/>
  </r>
  <r>
    <x v="4"/>
    <x v="4"/>
    <s v="Head and Shoulder 650ml"/>
    <n v="0"/>
    <n v="520"/>
    <n v="0"/>
    <x v="0"/>
    <n v="0"/>
  </r>
  <r>
    <x v="4"/>
    <x v="4"/>
    <s v="Indulekha Hair Oil 100ml"/>
    <n v="0"/>
    <n v="248"/>
    <n v="0"/>
    <x v="0"/>
    <n v="0"/>
  </r>
  <r>
    <x v="4"/>
    <x v="4"/>
    <s v="Listerine Mouthwash 250ml"/>
    <n v="0"/>
    <n v="200"/>
    <n v="0"/>
    <x v="1"/>
    <n v="0"/>
  </r>
  <r>
    <x v="4"/>
    <x v="4"/>
    <s v="Toothpastes"/>
    <n v="0"/>
    <n v="46"/>
    <n v="0"/>
    <x v="1"/>
    <n v="0"/>
  </r>
  <r>
    <x v="4"/>
    <x v="4"/>
    <s v="Vaseline 100ml"/>
    <n v="0"/>
    <n v="95"/>
    <n v="0"/>
    <x v="2"/>
    <n v="0"/>
  </r>
  <r>
    <x v="4"/>
    <x v="4"/>
    <s v="Boroline 20g"/>
    <n v="1"/>
    <n v="35"/>
    <n v="35"/>
    <x v="2"/>
    <n v="7"/>
  </r>
  <r>
    <x v="4"/>
    <x v="4"/>
    <s v="Pampers Diapers Pack"/>
    <n v="0"/>
    <n v="60"/>
    <n v="0"/>
    <x v="3"/>
    <n v="0"/>
  </r>
  <r>
    <x v="4"/>
    <x v="4"/>
    <s v="Johnson's Baby Powder 100g"/>
    <n v="2"/>
    <n v="120"/>
    <n v="240"/>
    <x v="3"/>
    <n v="20"/>
  </r>
  <r>
    <x v="4"/>
    <x v="4"/>
    <s v="Dettol Soap 100g"/>
    <n v="0"/>
    <n v="50"/>
    <n v="0"/>
    <x v="4"/>
    <n v="0"/>
  </r>
  <r>
    <x v="4"/>
    <x v="4"/>
    <s v="Bournvita 550g"/>
    <n v="0"/>
    <n v="250"/>
    <n v="0"/>
    <x v="5"/>
    <n v="0"/>
  </r>
  <r>
    <x v="4"/>
    <x v="4"/>
    <s v="Horlicks 500g"/>
    <n v="0"/>
    <n v="249"/>
    <n v="0"/>
    <x v="5"/>
    <n v="0"/>
  </r>
  <r>
    <x v="5"/>
    <x v="5"/>
    <s v="Head and Shoulder 650ml"/>
    <n v="0"/>
    <n v="520"/>
    <n v="0"/>
    <x v="0"/>
    <n v="0"/>
  </r>
  <r>
    <x v="5"/>
    <x v="5"/>
    <s v="Indulekha Hair Oil 100ml"/>
    <n v="0"/>
    <n v="248"/>
    <n v="0"/>
    <x v="0"/>
    <n v="0"/>
  </r>
  <r>
    <x v="5"/>
    <x v="5"/>
    <s v="Listerine Mouthwash 250ml"/>
    <n v="1"/>
    <n v="200"/>
    <n v="200"/>
    <x v="1"/>
    <n v="20"/>
  </r>
  <r>
    <x v="5"/>
    <x v="5"/>
    <s v="Toothpastes"/>
    <n v="2"/>
    <n v="46"/>
    <n v="92"/>
    <x v="1"/>
    <n v="32"/>
  </r>
  <r>
    <x v="5"/>
    <x v="5"/>
    <s v="Vaseline 100ml"/>
    <n v="1"/>
    <n v="95"/>
    <n v="95"/>
    <x v="2"/>
    <n v="10"/>
  </r>
  <r>
    <x v="5"/>
    <x v="5"/>
    <s v="Boroline 20g"/>
    <n v="1"/>
    <n v="35"/>
    <n v="35"/>
    <x v="2"/>
    <n v="7"/>
  </r>
  <r>
    <x v="5"/>
    <x v="5"/>
    <s v="Pampers Diapers Pack"/>
    <n v="0"/>
    <n v="60"/>
    <n v="0"/>
    <x v="3"/>
    <n v="0"/>
  </r>
  <r>
    <x v="5"/>
    <x v="5"/>
    <s v="Johnson's Baby Powder 100g"/>
    <n v="1"/>
    <n v="120"/>
    <n v="120"/>
    <x v="3"/>
    <n v="10"/>
  </r>
  <r>
    <x v="5"/>
    <x v="5"/>
    <s v="Dettol Soap 100g"/>
    <n v="1"/>
    <n v="50"/>
    <n v="50"/>
    <x v="4"/>
    <n v="12"/>
  </r>
  <r>
    <x v="5"/>
    <x v="5"/>
    <s v="Bournvita 550g"/>
    <n v="0"/>
    <n v="250"/>
    <n v="0"/>
    <x v="5"/>
    <n v="0"/>
  </r>
  <r>
    <x v="5"/>
    <x v="5"/>
    <s v="Horlicks 500g"/>
    <n v="0"/>
    <n v="249"/>
    <n v="0"/>
    <x v="5"/>
    <n v="0"/>
  </r>
  <r>
    <x v="6"/>
    <x v="6"/>
    <s v="Head and Shoulder 650ml"/>
    <n v="1"/>
    <n v="520"/>
    <n v="520"/>
    <x v="0"/>
    <n v="20"/>
  </r>
  <r>
    <x v="6"/>
    <x v="6"/>
    <s v="Indulekha Hair Oil 100ml"/>
    <n v="0"/>
    <n v="248"/>
    <n v="0"/>
    <x v="0"/>
    <n v="0"/>
  </r>
  <r>
    <x v="6"/>
    <x v="6"/>
    <s v="Listerine Mouthwash 250ml"/>
    <n v="0"/>
    <n v="200"/>
    <n v="0"/>
    <x v="1"/>
    <n v="0"/>
  </r>
  <r>
    <x v="6"/>
    <x v="6"/>
    <s v="Toothpastes"/>
    <n v="2"/>
    <n v="46"/>
    <n v="92"/>
    <x v="1"/>
    <n v="32"/>
  </r>
  <r>
    <x v="6"/>
    <x v="6"/>
    <s v="Vaseline 100ml"/>
    <n v="1"/>
    <n v="95"/>
    <n v="95"/>
    <x v="2"/>
    <n v="10"/>
  </r>
  <r>
    <x v="6"/>
    <x v="6"/>
    <s v="Boroline 20g"/>
    <n v="0"/>
    <n v="35"/>
    <n v="0"/>
    <x v="2"/>
    <n v="0"/>
  </r>
  <r>
    <x v="6"/>
    <x v="6"/>
    <s v="Pampers Diapers Pack"/>
    <n v="1"/>
    <n v="60"/>
    <n v="60"/>
    <x v="3"/>
    <n v="20"/>
  </r>
  <r>
    <x v="6"/>
    <x v="6"/>
    <s v="Johnson's Baby Powder 100g"/>
    <n v="0"/>
    <n v="120"/>
    <n v="0"/>
    <x v="3"/>
    <n v="0"/>
  </r>
  <r>
    <x v="6"/>
    <x v="6"/>
    <s v="Dettol Soap 100g"/>
    <n v="0"/>
    <n v="50"/>
    <n v="0"/>
    <x v="4"/>
    <n v="0"/>
  </r>
  <r>
    <x v="6"/>
    <x v="6"/>
    <s v="Bournvita 550g"/>
    <n v="1"/>
    <n v="250"/>
    <n v="250"/>
    <x v="5"/>
    <n v="40"/>
  </r>
  <r>
    <x v="6"/>
    <x v="6"/>
    <s v="Horlicks 500g"/>
    <n v="1"/>
    <n v="249"/>
    <n v="249"/>
    <x v="5"/>
    <n v="49"/>
  </r>
  <r>
    <x v="7"/>
    <x v="0"/>
    <s v="Head and Shoulder 650ml"/>
    <n v="0"/>
    <n v="520"/>
    <n v="0"/>
    <x v="0"/>
    <n v="0"/>
  </r>
  <r>
    <x v="7"/>
    <x v="0"/>
    <s v="Indulekha Hair Oil 100ml"/>
    <n v="0"/>
    <n v="248"/>
    <n v="0"/>
    <x v="0"/>
    <n v="0"/>
  </r>
  <r>
    <x v="7"/>
    <x v="0"/>
    <s v="Listerine Mouthwash 250ml"/>
    <n v="0"/>
    <n v="200"/>
    <n v="0"/>
    <x v="1"/>
    <n v="0"/>
  </r>
  <r>
    <x v="7"/>
    <x v="0"/>
    <s v="Toothpastes"/>
    <n v="1"/>
    <n v="46"/>
    <n v="46"/>
    <x v="1"/>
    <n v="16"/>
  </r>
  <r>
    <x v="7"/>
    <x v="0"/>
    <s v="Vaseline 100ml"/>
    <n v="0"/>
    <n v="95"/>
    <n v="0"/>
    <x v="2"/>
    <n v="0"/>
  </r>
  <r>
    <x v="7"/>
    <x v="0"/>
    <s v="Boroline 20g"/>
    <n v="0"/>
    <n v="35"/>
    <n v="0"/>
    <x v="2"/>
    <n v="0"/>
  </r>
  <r>
    <x v="7"/>
    <x v="0"/>
    <s v="Pampers Diapers Pack"/>
    <n v="0"/>
    <n v="60"/>
    <n v="0"/>
    <x v="3"/>
    <n v="0"/>
  </r>
  <r>
    <x v="7"/>
    <x v="0"/>
    <s v="Johnson's Baby Powder 100g"/>
    <n v="2"/>
    <n v="120"/>
    <n v="240"/>
    <x v="3"/>
    <n v="20"/>
  </r>
  <r>
    <x v="7"/>
    <x v="0"/>
    <s v="Dettol Soap 100g"/>
    <n v="2"/>
    <n v="50"/>
    <n v="100"/>
    <x v="4"/>
    <n v="24"/>
  </r>
  <r>
    <x v="7"/>
    <x v="0"/>
    <s v="Bournvita 550g"/>
    <n v="0"/>
    <n v="250"/>
    <n v="0"/>
    <x v="5"/>
    <n v="0"/>
  </r>
  <r>
    <x v="7"/>
    <x v="0"/>
    <s v="Horlicks 500g"/>
    <n v="1"/>
    <n v="249"/>
    <n v="249"/>
    <x v="5"/>
    <n v="49"/>
  </r>
  <r>
    <x v="8"/>
    <x v="1"/>
    <s v="Head and Shoulder 650ml"/>
    <n v="0"/>
    <n v="520"/>
    <n v="0"/>
    <x v="0"/>
    <n v="0"/>
  </r>
  <r>
    <x v="8"/>
    <x v="1"/>
    <s v="Indulekha Hair Oil 100ml"/>
    <n v="0"/>
    <n v="248"/>
    <n v="0"/>
    <x v="0"/>
    <n v="0"/>
  </r>
  <r>
    <x v="8"/>
    <x v="1"/>
    <s v="Listerine Mouthwash 250ml"/>
    <n v="0"/>
    <n v="200"/>
    <n v="0"/>
    <x v="1"/>
    <n v="0"/>
  </r>
  <r>
    <x v="8"/>
    <x v="1"/>
    <s v="Toothpastes"/>
    <n v="5"/>
    <n v="46"/>
    <n v="230"/>
    <x v="1"/>
    <n v="80"/>
  </r>
  <r>
    <x v="8"/>
    <x v="1"/>
    <s v="Vaseline 100ml"/>
    <n v="1"/>
    <n v="95"/>
    <n v="95"/>
    <x v="2"/>
    <n v="10"/>
  </r>
  <r>
    <x v="8"/>
    <x v="1"/>
    <s v="Boroline 20g"/>
    <n v="1"/>
    <n v="35"/>
    <n v="35"/>
    <x v="2"/>
    <n v="7"/>
  </r>
  <r>
    <x v="8"/>
    <x v="1"/>
    <s v="Pampers Diapers Pack"/>
    <n v="1"/>
    <n v="60"/>
    <n v="60"/>
    <x v="3"/>
    <n v="20"/>
  </r>
  <r>
    <x v="8"/>
    <x v="1"/>
    <s v="Johnson's Baby Powder 100g"/>
    <n v="0"/>
    <n v="120"/>
    <n v="0"/>
    <x v="3"/>
    <n v="0"/>
  </r>
  <r>
    <x v="8"/>
    <x v="1"/>
    <s v="Dettol Soap 100g"/>
    <n v="1"/>
    <n v="50"/>
    <n v="50"/>
    <x v="4"/>
    <n v="12"/>
  </r>
  <r>
    <x v="8"/>
    <x v="1"/>
    <s v="Bournvita 550g"/>
    <n v="0"/>
    <n v="250"/>
    <n v="0"/>
    <x v="5"/>
    <n v="0"/>
  </r>
  <r>
    <x v="8"/>
    <x v="1"/>
    <s v="Horlicks 500g"/>
    <n v="0"/>
    <n v="249"/>
    <n v="0"/>
    <x v="5"/>
    <n v="0"/>
  </r>
  <r>
    <x v="9"/>
    <x v="2"/>
    <s v="Head and Shoulder 650ml"/>
    <n v="1"/>
    <n v="520"/>
    <n v="520"/>
    <x v="0"/>
    <n v="20"/>
  </r>
  <r>
    <x v="9"/>
    <x v="2"/>
    <s v="Indulekha Hair Oil 100ml"/>
    <n v="1"/>
    <n v="248"/>
    <n v="248"/>
    <x v="0"/>
    <n v="88"/>
  </r>
  <r>
    <x v="9"/>
    <x v="2"/>
    <s v="Listerine Mouthwash 250ml"/>
    <n v="0"/>
    <n v="200"/>
    <n v="0"/>
    <x v="1"/>
    <n v="0"/>
  </r>
  <r>
    <x v="9"/>
    <x v="2"/>
    <s v="Toothpastes"/>
    <n v="3"/>
    <n v="46"/>
    <n v="138"/>
    <x v="1"/>
    <n v="48"/>
  </r>
  <r>
    <x v="9"/>
    <x v="2"/>
    <s v="Vaseline 100ml"/>
    <n v="0"/>
    <n v="95"/>
    <n v="0"/>
    <x v="2"/>
    <n v="0"/>
  </r>
  <r>
    <x v="9"/>
    <x v="2"/>
    <s v="Boroline 20g"/>
    <n v="0"/>
    <n v="35"/>
    <n v="0"/>
    <x v="2"/>
    <n v="0"/>
  </r>
  <r>
    <x v="9"/>
    <x v="2"/>
    <s v="Pampers Diapers Pack"/>
    <n v="1"/>
    <n v="60"/>
    <n v="60"/>
    <x v="3"/>
    <n v="20"/>
  </r>
  <r>
    <x v="9"/>
    <x v="2"/>
    <s v="Johnson's Baby Powder 100g"/>
    <n v="0"/>
    <n v="120"/>
    <n v="0"/>
    <x v="3"/>
    <n v="0"/>
  </r>
  <r>
    <x v="9"/>
    <x v="2"/>
    <s v="Dettol Soap 100g"/>
    <n v="1"/>
    <n v="50"/>
    <n v="50"/>
    <x v="4"/>
    <n v="12"/>
  </r>
  <r>
    <x v="9"/>
    <x v="2"/>
    <s v="Bournvita 550g"/>
    <n v="0"/>
    <n v="250"/>
    <n v="0"/>
    <x v="5"/>
    <n v="0"/>
  </r>
  <r>
    <x v="9"/>
    <x v="2"/>
    <s v="Horlicks 500g"/>
    <n v="0"/>
    <n v="249"/>
    <n v="0"/>
    <x v="5"/>
    <n v="0"/>
  </r>
  <r>
    <x v="10"/>
    <x v="3"/>
    <s v="Head and Shoulder 650ml"/>
    <n v="0"/>
    <n v="520"/>
    <n v="0"/>
    <x v="0"/>
    <n v="0"/>
  </r>
  <r>
    <x v="10"/>
    <x v="3"/>
    <s v="Indulekha Hair Oil 100ml"/>
    <n v="0"/>
    <n v="248"/>
    <n v="0"/>
    <x v="0"/>
    <n v="0"/>
  </r>
  <r>
    <x v="10"/>
    <x v="3"/>
    <s v="Listerine Mouthwash 250ml"/>
    <n v="0"/>
    <n v="200"/>
    <n v="0"/>
    <x v="1"/>
    <n v="0"/>
  </r>
  <r>
    <x v="10"/>
    <x v="3"/>
    <s v="Toothpastes"/>
    <n v="1"/>
    <n v="46"/>
    <n v="46"/>
    <x v="1"/>
    <n v="16"/>
  </r>
  <r>
    <x v="10"/>
    <x v="3"/>
    <s v="Vaseline 100ml"/>
    <n v="0"/>
    <n v="95"/>
    <n v="0"/>
    <x v="2"/>
    <n v="0"/>
  </r>
  <r>
    <x v="10"/>
    <x v="3"/>
    <s v="Boroline 20g"/>
    <n v="0"/>
    <n v="35"/>
    <n v="0"/>
    <x v="2"/>
    <n v="0"/>
  </r>
  <r>
    <x v="10"/>
    <x v="3"/>
    <s v="Pampers Diapers Pack"/>
    <n v="0"/>
    <n v="60"/>
    <n v="0"/>
    <x v="3"/>
    <n v="0"/>
  </r>
  <r>
    <x v="10"/>
    <x v="3"/>
    <s v="Johnson's Baby Powder 100g"/>
    <n v="0"/>
    <n v="120"/>
    <n v="0"/>
    <x v="3"/>
    <n v="0"/>
  </r>
  <r>
    <x v="10"/>
    <x v="3"/>
    <s v="Dettol Soap 100g"/>
    <n v="0"/>
    <n v="50"/>
    <n v="0"/>
    <x v="4"/>
    <n v="0"/>
  </r>
  <r>
    <x v="10"/>
    <x v="3"/>
    <s v="Bournvita 550g"/>
    <n v="2"/>
    <n v="250"/>
    <n v="500"/>
    <x v="5"/>
    <n v="80"/>
  </r>
  <r>
    <x v="10"/>
    <x v="3"/>
    <s v="Horlicks 500g"/>
    <n v="0"/>
    <n v="249"/>
    <n v="0"/>
    <x v="5"/>
    <n v="0"/>
  </r>
  <r>
    <x v="11"/>
    <x v="4"/>
    <s v="Head and Shoulder 650ml"/>
    <n v="1"/>
    <n v="520"/>
    <n v="520"/>
    <x v="0"/>
    <n v="20"/>
  </r>
  <r>
    <x v="11"/>
    <x v="4"/>
    <s v="Indulekha Hair Oil 100ml"/>
    <n v="0"/>
    <n v="248"/>
    <n v="0"/>
    <x v="0"/>
    <n v="0"/>
  </r>
  <r>
    <x v="11"/>
    <x v="4"/>
    <s v="Listerine Mouthwash 250ml"/>
    <n v="0"/>
    <n v="200"/>
    <n v="0"/>
    <x v="1"/>
    <n v="0"/>
  </r>
  <r>
    <x v="11"/>
    <x v="4"/>
    <s v="Toothpastes"/>
    <n v="0"/>
    <n v="46"/>
    <n v="0"/>
    <x v="1"/>
    <n v="0"/>
  </r>
  <r>
    <x v="11"/>
    <x v="4"/>
    <s v="Vaseline 100ml"/>
    <n v="0"/>
    <n v="95"/>
    <n v="0"/>
    <x v="2"/>
    <n v="0"/>
  </r>
  <r>
    <x v="11"/>
    <x v="4"/>
    <s v="Boroline 20g"/>
    <n v="0"/>
    <n v="35"/>
    <n v="0"/>
    <x v="2"/>
    <n v="0"/>
  </r>
  <r>
    <x v="11"/>
    <x v="4"/>
    <s v="Pampers Diapers Pack"/>
    <n v="0"/>
    <n v="60"/>
    <n v="0"/>
    <x v="3"/>
    <n v="0"/>
  </r>
  <r>
    <x v="11"/>
    <x v="4"/>
    <s v="Johnson's Baby Powder 100g"/>
    <n v="0"/>
    <n v="120"/>
    <n v="0"/>
    <x v="3"/>
    <n v="0"/>
  </r>
  <r>
    <x v="11"/>
    <x v="4"/>
    <s v="Dettol Soap 100g"/>
    <n v="1"/>
    <n v="50"/>
    <n v="50"/>
    <x v="4"/>
    <n v="12"/>
  </r>
  <r>
    <x v="11"/>
    <x v="4"/>
    <s v="Bournvita 550g"/>
    <n v="0"/>
    <n v="250"/>
    <n v="0"/>
    <x v="5"/>
    <n v="0"/>
  </r>
  <r>
    <x v="11"/>
    <x v="4"/>
    <s v="Horlicks 500g"/>
    <n v="0"/>
    <n v="249"/>
    <n v="0"/>
    <x v="5"/>
    <n v="0"/>
  </r>
  <r>
    <x v="12"/>
    <x v="5"/>
    <s v="Head and Shoulder 650ml"/>
    <n v="0"/>
    <n v="520"/>
    <n v="0"/>
    <x v="0"/>
    <n v="0"/>
  </r>
  <r>
    <x v="12"/>
    <x v="5"/>
    <s v="Indulekha Hair Oil 100ml"/>
    <n v="0"/>
    <n v="248"/>
    <n v="0"/>
    <x v="0"/>
    <n v="0"/>
  </r>
  <r>
    <x v="12"/>
    <x v="5"/>
    <s v="Listerine Mouthwash 250ml"/>
    <n v="0"/>
    <n v="200"/>
    <n v="0"/>
    <x v="1"/>
    <n v="0"/>
  </r>
  <r>
    <x v="12"/>
    <x v="5"/>
    <s v="Toothpastes"/>
    <n v="1"/>
    <n v="46"/>
    <n v="46"/>
    <x v="1"/>
    <n v="16"/>
  </r>
  <r>
    <x v="12"/>
    <x v="5"/>
    <s v="Vaseline 100ml"/>
    <n v="0"/>
    <n v="95"/>
    <n v="0"/>
    <x v="2"/>
    <n v="0"/>
  </r>
  <r>
    <x v="12"/>
    <x v="5"/>
    <s v="Boroline 20g"/>
    <n v="0"/>
    <n v="35"/>
    <n v="0"/>
    <x v="2"/>
    <n v="0"/>
  </r>
  <r>
    <x v="12"/>
    <x v="5"/>
    <s v="Pampers Diapers Pack"/>
    <n v="4"/>
    <n v="60"/>
    <n v="240"/>
    <x v="3"/>
    <n v="80"/>
  </r>
  <r>
    <x v="12"/>
    <x v="5"/>
    <s v="Johnson's Baby Powder 100g"/>
    <n v="0"/>
    <n v="120"/>
    <n v="0"/>
    <x v="3"/>
    <n v="0"/>
  </r>
  <r>
    <x v="12"/>
    <x v="5"/>
    <s v="Dettol Soap 100g"/>
    <n v="3"/>
    <n v="50"/>
    <n v="150"/>
    <x v="4"/>
    <n v="36"/>
  </r>
  <r>
    <x v="12"/>
    <x v="5"/>
    <s v="Bournvita 550g"/>
    <n v="0"/>
    <n v="250"/>
    <n v="0"/>
    <x v="5"/>
    <n v="0"/>
  </r>
  <r>
    <x v="12"/>
    <x v="5"/>
    <s v="Horlicks 500g"/>
    <n v="1"/>
    <n v="249"/>
    <n v="249"/>
    <x v="5"/>
    <n v="49"/>
  </r>
  <r>
    <x v="13"/>
    <x v="6"/>
    <s v="Head and Shoulder 650ml"/>
    <n v="0"/>
    <n v="520"/>
    <n v="0"/>
    <x v="0"/>
    <n v="0"/>
  </r>
  <r>
    <x v="13"/>
    <x v="6"/>
    <s v="Indulekha Hair Oil 100ml"/>
    <n v="2"/>
    <n v="248"/>
    <n v="496"/>
    <x v="0"/>
    <n v="176"/>
  </r>
  <r>
    <x v="13"/>
    <x v="6"/>
    <s v="Listerine Mouthwash 250ml"/>
    <n v="0"/>
    <n v="200"/>
    <n v="0"/>
    <x v="1"/>
    <n v="0"/>
  </r>
  <r>
    <x v="13"/>
    <x v="6"/>
    <s v="Toothpastes"/>
    <n v="2"/>
    <n v="46"/>
    <n v="92"/>
    <x v="1"/>
    <n v="32"/>
  </r>
  <r>
    <x v="13"/>
    <x v="6"/>
    <s v="Vaseline 100ml"/>
    <n v="1"/>
    <n v="95"/>
    <n v="95"/>
    <x v="2"/>
    <n v="10"/>
  </r>
  <r>
    <x v="13"/>
    <x v="6"/>
    <s v="Boroline 20g"/>
    <n v="0"/>
    <n v="35"/>
    <n v="0"/>
    <x v="2"/>
    <n v="0"/>
  </r>
  <r>
    <x v="13"/>
    <x v="6"/>
    <s v="Pampers Diapers Pack"/>
    <n v="3"/>
    <n v="60"/>
    <n v="180"/>
    <x v="3"/>
    <n v="60"/>
  </r>
  <r>
    <x v="13"/>
    <x v="6"/>
    <s v="Johnson's Baby Powder 100g"/>
    <n v="0"/>
    <n v="120"/>
    <n v="0"/>
    <x v="3"/>
    <n v="0"/>
  </r>
  <r>
    <x v="13"/>
    <x v="6"/>
    <s v="Dettol Soap 100g"/>
    <n v="0"/>
    <n v="50"/>
    <n v="0"/>
    <x v="4"/>
    <n v="0"/>
  </r>
  <r>
    <x v="13"/>
    <x v="6"/>
    <s v="Bournvita 550g"/>
    <n v="0"/>
    <n v="250"/>
    <n v="0"/>
    <x v="5"/>
    <n v="0"/>
  </r>
  <r>
    <x v="13"/>
    <x v="6"/>
    <s v="Horlicks 500g"/>
    <n v="1"/>
    <n v="249"/>
    <n v="249"/>
    <x v="5"/>
    <n v="49"/>
  </r>
  <r>
    <x v="14"/>
    <x v="0"/>
    <s v="Head and Shoulder 650ml"/>
    <n v="2"/>
    <n v="520"/>
    <n v="1040"/>
    <x v="0"/>
    <n v="40"/>
  </r>
  <r>
    <x v="14"/>
    <x v="0"/>
    <s v="Indulekha Hair Oil 100ml"/>
    <n v="0"/>
    <n v="248"/>
    <n v="0"/>
    <x v="0"/>
    <n v="0"/>
  </r>
  <r>
    <x v="14"/>
    <x v="0"/>
    <s v="Listerine Mouthwash 250ml"/>
    <n v="0"/>
    <n v="200"/>
    <n v="0"/>
    <x v="1"/>
    <n v="0"/>
  </r>
  <r>
    <x v="14"/>
    <x v="0"/>
    <s v="Toothpastes"/>
    <n v="0"/>
    <n v="46"/>
    <n v="0"/>
    <x v="1"/>
    <n v="0"/>
  </r>
  <r>
    <x v="14"/>
    <x v="0"/>
    <s v="Vaseline 100ml"/>
    <n v="1"/>
    <n v="95"/>
    <n v="95"/>
    <x v="2"/>
    <n v="10"/>
  </r>
  <r>
    <x v="14"/>
    <x v="0"/>
    <s v="Boroline 20g"/>
    <n v="0"/>
    <n v="35"/>
    <n v="0"/>
    <x v="2"/>
    <n v="0"/>
  </r>
  <r>
    <x v="14"/>
    <x v="0"/>
    <s v="Pampers Diapers Pack"/>
    <n v="0"/>
    <n v="60"/>
    <n v="0"/>
    <x v="3"/>
    <n v="0"/>
  </r>
  <r>
    <x v="14"/>
    <x v="0"/>
    <s v="Johnson's Baby Powder 100g"/>
    <n v="0"/>
    <n v="120"/>
    <n v="0"/>
    <x v="3"/>
    <n v="0"/>
  </r>
  <r>
    <x v="14"/>
    <x v="0"/>
    <s v="Dettol Soap 100g"/>
    <n v="2"/>
    <n v="50"/>
    <n v="100"/>
    <x v="4"/>
    <n v="24"/>
  </r>
  <r>
    <x v="14"/>
    <x v="0"/>
    <s v="Bournvita 550g"/>
    <n v="0"/>
    <n v="250"/>
    <n v="0"/>
    <x v="5"/>
    <n v="0"/>
  </r>
  <r>
    <x v="14"/>
    <x v="0"/>
    <s v="Horlicks 500g"/>
    <n v="0"/>
    <n v="249"/>
    <n v="0"/>
    <x v="5"/>
    <n v="0"/>
  </r>
  <r>
    <x v="15"/>
    <x v="1"/>
    <s v="Head and Shoulder 650ml"/>
    <n v="0"/>
    <n v="520"/>
    <n v="0"/>
    <x v="0"/>
    <n v="0"/>
  </r>
  <r>
    <x v="15"/>
    <x v="1"/>
    <s v="Indulekha Hair Oil 100ml"/>
    <n v="1"/>
    <n v="248"/>
    <n v="248"/>
    <x v="0"/>
    <n v="88"/>
  </r>
  <r>
    <x v="15"/>
    <x v="1"/>
    <s v="Listerine Mouthwash 250ml"/>
    <n v="0"/>
    <n v="200"/>
    <n v="0"/>
    <x v="1"/>
    <n v="0"/>
  </r>
  <r>
    <x v="15"/>
    <x v="1"/>
    <s v="Toothpastes"/>
    <n v="0"/>
    <n v="46"/>
    <n v="0"/>
    <x v="1"/>
    <n v="0"/>
  </r>
  <r>
    <x v="15"/>
    <x v="1"/>
    <s v="Vaseline 100ml"/>
    <n v="0"/>
    <n v="95"/>
    <n v="0"/>
    <x v="2"/>
    <n v="0"/>
  </r>
  <r>
    <x v="15"/>
    <x v="1"/>
    <s v="Boroline 20g"/>
    <n v="0"/>
    <n v="35"/>
    <n v="0"/>
    <x v="2"/>
    <n v="0"/>
  </r>
  <r>
    <x v="15"/>
    <x v="1"/>
    <s v="Pampers Diapers Pack"/>
    <n v="0"/>
    <n v="60"/>
    <n v="0"/>
    <x v="3"/>
    <n v="0"/>
  </r>
  <r>
    <x v="15"/>
    <x v="1"/>
    <s v="Johnson's Baby Powder 100g"/>
    <n v="0"/>
    <n v="120"/>
    <n v="0"/>
    <x v="3"/>
    <n v="0"/>
  </r>
  <r>
    <x v="15"/>
    <x v="1"/>
    <s v="Dettol Soap 100g"/>
    <n v="2"/>
    <n v="50"/>
    <n v="100"/>
    <x v="4"/>
    <n v="24"/>
  </r>
  <r>
    <x v="15"/>
    <x v="1"/>
    <s v="Bournvita 550g"/>
    <n v="0"/>
    <n v="250"/>
    <n v="0"/>
    <x v="5"/>
    <n v="0"/>
  </r>
  <r>
    <x v="15"/>
    <x v="1"/>
    <s v="Horlicks 500g"/>
    <n v="0"/>
    <n v="249"/>
    <n v="0"/>
    <x v="5"/>
    <n v="0"/>
  </r>
  <r>
    <x v="16"/>
    <x v="2"/>
    <s v="Head and Shoulder 650ml"/>
    <n v="0"/>
    <n v="520"/>
    <n v="0"/>
    <x v="0"/>
    <n v="0"/>
  </r>
  <r>
    <x v="16"/>
    <x v="2"/>
    <s v="Indulekha Hair Oil 100ml"/>
    <n v="0"/>
    <n v="248"/>
    <n v="0"/>
    <x v="0"/>
    <n v="0"/>
  </r>
  <r>
    <x v="16"/>
    <x v="2"/>
    <s v="Listerine Mouthwash 250ml"/>
    <n v="0"/>
    <n v="200"/>
    <n v="0"/>
    <x v="1"/>
    <n v="0"/>
  </r>
  <r>
    <x v="16"/>
    <x v="2"/>
    <s v="Toothpastes"/>
    <n v="0"/>
    <n v="46"/>
    <n v="0"/>
    <x v="1"/>
    <n v="0"/>
  </r>
  <r>
    <x v="16"/>
    <x v="2"/>
    <s v="Vaseline 100ml"/>
    <n v="0"/>
    <n v="95"/>
    <n v="0"/>
    <x v="2"/>
    <n v="0"/>
  </r>
  <r>
    <x v="16"/>
    <x v="2"/>
    <s v="Boroline 20g"/>
    <n v="0"/>
    <n v="35"/>
    <n v="0"/>
    <x v="2"/>
    <n v="0"/>
  </r>
  <r>
    <x v="16"/>
    <x v="2"/>
    <s v="Pampers Diapers Pack"/>
    <n v="2"/>
    <n v="60"/>
    <n v="120"/>
    <x v="3"/>
    <n v="40"/>
  </r>
  <r>
    <x v="16"/>
    <x v="2"/>
    <s v="Johnson's Baby Powder 100g"/>
    <n v="0"/>
    <n v="120"/>
    <n v="0"/>
    <x v="3"/>
    <n v="0"/>
  </r>
  <r>
    <x v="16"/>
    <x v="2"/>
    <s v="Dettol Soap 100g"/>
    <n v="0"/>
    <n v="50"/>
    <n v="0"/>
    <x v="4"/>
    <n v="0"/>
  </r>
  <r>
    <x v="16"/>
    <x v="2"/>
    <s v="Bournvita 550g"/>
    <n v="0"/>
    <n v="250"/>
    <n v="0"/>
    <x v="5"/>
    <n v="0"/>
  </r>
  <r>
    <x v="16"/>
    <x v="2"/>
    <s v="Horlicks 500g"/>
    <n v="1"/>
    <n v="249"/>
    <n v="249"/>
    <x v="5"/>
    <n v="49"/>
  </r>
  <r>
    <x v="17"/>
    <x v="3"/>
    <s v="Head and Shoulder 650ml"/>
    <n v="0"/>
    <n v="520"/>
    <n v="0"/>
    <x v="0"/>
    <n v="0"/>
  </r>
  <r>
    <x v="17"/>
    <x v="3"/>
    <s v="Indulekha Hair Oil 100ml"/>
    <n v="0"/>
    <n v="248"/>
    <n v="0"/>
    <x v="0"/>
    <n v="0"/>
  </r>
  <r>
    <x v="17"/>
    <x v="3"/>
    <s v="Listerine Mouthwash 250ml"/>
    <n v="0"/>
    <n v="200"/>
    <n v="0"/>
    <x v="1"/>
    <n v="0"/>
  </r>
  <r>
    <x v="17"/>
    <x v="3"/>
    <s v="Toothpastes"/>
    <n v="1"/>
    <n v="46"/>
    <n v="46"/>
    <x v="1"/>
    <n v="16"/>
  </r>
  <r>
    <x v="17"/>
    <x v="3"/>
    <s v="Vaseline 100ml"/>
    <n v="1"/>
    <n v="95"/>
    <n v="95"/>
    <x v="2"/>
    <n v="10"/>
  </r>
  <r>
    <x v="17"/>
    <x v="3"/>
    <s v="Boroline 20g"/>
    <n v="0"/>
    <n v="35"/>
    <n v="0"/>
    <x v="2"/>
    <n v="0"/>
  </r>
  <r>
    <x v="17"/>
    <x v="3"/>
    <s v="Pampers Diapers Pack"/>
    <n v="1"/>
    <n v="60"/>
    <n v="60"/>
    <x v="3"/>
    <n v="20"/>
  </r>
  <r>
    <x v="17"/>
    <x v="3"/>
    <s v="Johnson's Baby Powder 100g"/>
    <n v="1"/>
    <n v="120"/>
    <n v="120"/>
    <x v="3"/>
    <n v="10"/>
  </r>
  <r>
    <x v="17"/>
    <x v="3"/>
    <s v="Dettol Soap 100g"/>
    <n v="2"/>
    <n v="50"/>
    <n v="100"/>
    <x v="4"/>
    <n v="24"/>
  </r>
  <r>
    <x v="17"/>
    <x v="3"/>
    <s v="Bournvita 550g"/>
    <n v="1"/>
    <n v="250"/>
    <n v="250"/>
    <x v="5"/>
    <n v="40"/>
  </r>
  <r>
    <x v="17"/>
    <x v="3"/>
    <s v="Horlicks 500g"/>
    <n v="0"/>
    <n v="249"/>
    <n v="0"/>
    <x v="5"/>
    <n v="0"/>
  </r>
  <r>
    <x v="18"/>
    <x v="4"/>
    <s v="Head and Shoulder 650ml"/>
    <n v="0"/>
    <n v="520"/>
    <n v="0"/>
    <x v="0"/>
    <n v="0"/>
  </r>
  <r>
    <x v="18"/>
    <x v="4"/>
    <s v="Indulekha Hair Oil 100ml"/>
    <n v="0"/>
    <n v="248"/>
    <n v="0"/>
    <x v="0"/>
    <n v="0"/>
  </r>
  <r>
    <x v="18"/>
    <x v="4"/>
    <s v="Listerine Mouthwash 250ml"/>
    <n v="0"/>
    <n v="200"/>
    <n v="0"/>
    <x v="1"/>
    <n v="0"/>
  </r>
  <r>
    <x v="18"/>
    <x v="4"/>
    <s v="Toothpastes"/>
    <n v="0"/>
    <n v="46"/>
    <n v="0"/>
    <x v="1"/>
    <n v="0"/>
  </r>
  <r>
    <x v="18"/>
    <x v="4"/>
    <s v="Vaseline 100ml"/>
    <n v="0"/>
    <n v="95"/>
    <n v="0"/>
    <x v="2"/>
    <n v="0"/>
  </r>
  <r>
    <x v="18"/>
    <x v="4"/>
    <s v="Boroline 20g"/>
    <n v="0"/>
    <n v="35"/>
    <n v="0"/>
    <x v="2"/>
    <n v="0"/>
  </r>
  <r>
    <x v="18"/>
    <x v="4"/>
    <s v="Pampers Diapers Pack"/>
    <n v="0"/>
    <n v="60"/>
    <n v="0"/>
    <x v="3"/>
    <n v="0"/>
  </r>
  <r>
    <x v="18"/>
    <x v="4"/>
    <s v="Johnson's Baby Powder 100g"/>
    <n v="0"/>
    <n v="120"/>
    <n v="0"/>
    <x v="3"/>
    <n v="0"/>
  </r>
  <r>
    <x v="18"/>
    <x v="4"/>
    <s v="Dettol Soap 100g"/>
    <n v="2"/>
    <n v="50"/>
    <n v="100"/>
    <x v="4"/>
    <n v="24"/>
  </r>
  <r>
    <x v="18"/>
    <x v="4"/>
    <s v="Bournvita 550g"/>
    <n v="0"/>
    <n v="250"/>
    <n v="0"/>
    <x v="5"/>
    <n v="0"/>
  </r>
  <r>
    <x v="18"/>
    <x v="4"/>
    <s v="Horlicks 500g"/>
    <n v="1"/>
    <n v="249"/>
    <n v="249"/>
    <x v="5"/>
    <n v="49"/>
  </r>
  <r>
    <x v="19"/>
    <x v="5"/>
    <s v="Head and Shoulder 650ml"/>
    <n v="1"/>
    <n v="520"/>
    <n v="520"/>
    <x v="0"/>
    <n v="20"/>
  </r>
  <r>
    <x v="19"/>
    <x v="5"/>
    <s v="Indulekha Hair Oil 100ml"/>
    <n v="0"/>
    <n v="248"/>
    <n v="0"/>
    <x v="0"/>
    <n v="0"/>
  </r>
  <r>
    <x v="19"/>
    <x v="5"/>
    <s v="Listerine Mouthwash 250ml"/>
    <n v="0"/>
    <n v="200"/>
    <n v="0"/>
    <x v="1"/>
    <n v="0"/>
  </r>
  <r>
    <x v="19"/>
    <x v="5"/>
    <s v="Toothpastes"/>
    <n v="1"/>
    <n v="46"/>
    <n v="46"/>
    <x v="1"/>
    <n v="16"/>
  </r>
  <r>
    <x v="19"/>
    <x v="5"/>
    <s v="Vaseline 100ml"/>
    <n v="0"/>
    <n v="95"/>
    <n v="0"/>
    <x v="2"/>
    <n v="0"/>
  </r>
  <r>
    <x v="19"/>
    <x v="5"/>
    <s v="Boroline 20g"/>
    <n v="0"/>
    <n v="35"/>
    <n v="0"/>
    <x v="2"/>
    <n v="0"/>
  </r>
  <r>
    <x v="19"/>
    <x v="5"/>
    <s v="Pampers Diapers Pack"/>
    <n v="2"/>
    <n v="60"/>
    <n v="120"/>
    <x v="3"/>
    <n v="40"/>
  </r>
  <r>
    <x v="19"/>
    <x v="5"/>
    <s v="Johnson's Baby Powder 100g"/>
    <n v="1"/>
    <n v="120"/>
    <n v="120"/>
    <x v="3"/>
    <n v="10"/>
  </r>
  <r>
    <x v="19"/>
    <x v="5"/>
    <s v="Dettol Soap 100g"/>
    <n v="1"/>
    <n v="50"/>
    <n v="50"/>
    <x v="4"/>
    <n v="12"/>
  </r>
  <r>
    <x v="19"/>
    <x v="5"/>
    <s v="Bournvita 550g"/>
    <n v="0"/>
    <n v="250"/>
    <n v="0"/>
    <x v="5"/>
    <n v="0"/>
  </r>
  <r>
    <x v="19"/>
    <x v="5"/>
    <s v="Horlicks 500g"/>
    <n v="0"/>
    <n v="249"/>
    <n v="0"/>
    <x v="5"/>
    <n v="0"/>
  </r>
  <r>
    <x v="20"/>
    <x v="6"/>
    <s v="Head and Shoulder 650ml"/>
    <n v="0"/>
    <n v="520"/>
    <n v="0"/>
    <x v="0"/>
    <n v="0"/>
  </r>
  <r>
    <x v="20"/>
    <x v="6"/>
    <s v="Indulekha Hair Oil 100ml"/>
    <n v="1"/>
    <n v="248"/>
    <n v="248"/>
    <x v="0"/>
    <n v="88"/>
  </r>
  <r>
    <x v="20"/>
    <x v="6"/>
    <s v="Listerine Mouthwash 250ml"/>
    <n v="0"/>
    <n v="200"/>
    <n v="0"/>
    <x v="1"/>
    <n v="0"/>
  </r>
  <r>
    <x v="20"/>
    <x v="6"/>
    <s v="Toothpastes"/>
    <n v="1"/>
    <n v="46"/>
    <n v="46"/>
    <x v="1"/>
    <n v="16"/>
  </r>
  <r>
    <x v="20"/>
    <x v="6"/>
    <s v="Vaseline 100ml"/>
    <n v="0"/>
    <n v="95"/>
    <n v="0"/>
    <x v="2"/>
    <n v="0"/>
  </r>
  <r>
    <x v="20"/>
    <x v="6"/>
    <s v="Boroline 20g"/>
    <n v="0"/>
    <n v="35"/>
    <n v="0"/>
    <x v="2"/>
    <n v="0"/>
  </r>
  <r>
    <x v="20"/>
    <x v="6"/>
    <s v="Pampers Diapers Pack"/>
    <n v="2"/>
    <n v="60"/>
    <n v="120"/>
    <x v="3"/>
    <n v="40"/>
  </r>
  <r>
    <x v="20"/>
    <x v="6"/>
    <s v="Johnson's Baby Powder 100g"/>
    <n v="0"/>
    <n v="120"/>
    <n v="0"/>
    <x v="3"/>
    <n v="0"/>
  </r>
  <r>
    <x v="20"/>
    <x v="6"/>
    <s v="Dettol Soap 100g"/>
    <n v="2"/>
    <n v="50"/>
    <n v="100"/>
    <x v="4"/>
    <n v="24"/>
  </r>
  <r>
    <x v="20"/>
    <x v="6"/>
    <s v="Bournvita 550g"/>
    <n v="0"/>
    <n v="250"/>
    <n v="0"/>
    <x v="5"/>
    <n v="0"/>
  </r>
  <r>
    <x v="20"/>
    <x v="6"/>
    <s v="Horlicks 500g"/>
    <n v="1"/>
    <n v="249"/>
    <n v="249"/>
    <x v="5"/>
    <n v="49"/>
  </r>
  <r>
    <x v="21"/>
    <x v="0"/>
    <s v="Head and Shoulder 650ml"/>
    <n v="0"/>
    <n v="520"/>
    <n v="0"/>
    <x v="0"/>
    <n v="0"/>
  </r>
  <r>
    <x v="21"/>
    <x v="0"/>
    <s v="Indulekha Hair Oil 100ml"/>
    <n v="0"/>
    <n v="248"/>
    <n v="0"/>
    <x v="0"/>
    <n v="0"/>
  </r>
  <r>
    <x v="21"/>
    <x v="0"/>
    <s v="Listerine Mouthwash 250ml"/>
    <n v="0"/>
    <n v="200"/>
    <n v="0"/>
    <x v="1"/>
    <n v="0"/>
  </r>
  <r>
    <x v="21"/>
    <x v="0"/>
    <s v="Toothpastes"/>
    <n v="0"/>
    <n v="46"/>
    <n v="0"/>
    <x v="1"/>
    <n v="0"/>
  </r>
  <r>
    <x v="21"/>
    <x v="0"/>
    <s v="Vaseline 100ml"/>
    <n v="1"/>
    <n v="95"/>
    <n v="95"/>
    <x v="2"/>
    <n v="10"/>
  </r>
  <r>
    <x v="21"/>
    <x v="0"/>
    <s v="Boroline 20g"/>
    <n v="0"/>
    <n v="35"/>
    <n v="0"/>
    <x v="2"/>
    <n v="0"/>
  </r>
  <r>
    <x v="21"/>
    <x v="0"/>
    <s v="Pampers Diapers Pack"/>
    <n v="1"/>
    <n v="60"/>
    <n v="60"/>
    <x v="3"/>
    <n v="20"/>
  </r>
  <r>
    <x v="21"/>
    <x v="0"/>
    <s v="Johnson's Baby Powder 100g"/>
    <n v="0"/>
    <n v="120"/>
    <n v="0"/>
    <x v="3"/>
    <n v="0"/>
  </r>
  <r>
    <x v="21"/>
    <x v="0"/>
    <s v="Dettol Soap 100g"/>
    <n v="1"/>
    <n v="50"/>
    <n v="50"/>
    <x v="4"/>
    <n v="12"/>
  </r>
  <r>
    <x v="21"/>
    <x v="0"/>
    <s v="Bournvita 550g"/>
    <n v="1"/>
    <n v="250"/>
    <n v="250"/>
    <x v="5"/>
    <n v="40"/>
  </r>
  <r>
    <x v="21"/>
    <x v="0"/>
    <s v="Horlicks 500g"/>
    <n v="0"/>
    <n v="249"/>
    <n v="0"/>
    <x v="5"/>
    <n v="0"/>
  </r>
  <r>
    <x v="22"/>
    <x v="1"/>
    <s v="Head and Shoulder 650ml"/>
    <n v="0"/>
    <n v="520"/>
    <n v="0"/>
    <x v="0"/>
    <n v="0"/>
  </r>
  <r>
    <x v="22"/>
    <x v="1"/>
    <s v="Indulekha Hair Oil 100ml"/>
    <n v="0"/>
    <n v="248"/>
    <n v="0"/>
    <x v="0"/>
    <n v="0"/>
  </r>
  <r>
    <x v="22"/>
    <x v="1"/>
    <s v="Listerine Mouthwash 250ml"/>
    <n v="0"/>
    <n v="200"/>
    <n v="0"/>
    <x v="1"/>
    <n v="0"/>
  </r>
  <r>
    <x v="22"/>
    <x v="1"/>
    <s v="Toothpastes"/>
    <n v="0"/>
    <n v="46"/>
    <n v="0"/>
    <x v="1"/>
    <n v="0"/>
  </r>
  <r>
    <x v="22"/>
    <x v="1"/>
    <s v="Vaseline 100ml"/>
    <n v="0"/>
    <n v="95"/>
    <n v="0"/>
    <x v="2"/>
    <n v="0"/>
  </r>
  <r>
    <x v="22"/>
    <x v="1"/>
    <s v="Boroline 20g"/>
    <n v="1"/>
    <n v="35"/>
    <n v="35"/>
    <x v="2"/>
    <n v="7"/>
  </r>
  <r>
    <x v="22"/>
    <x v="1"/>
    <s v="Pampers Diapers Pack"/>
    <n v="0"/>
    <n v="60"/>
    <n v="0"/>
    <x v="3"/>
    <n v="0"/>
  </r>
  <r>
    <x v="22"/>
    <x v="1"/>
    <s v="Johnson's Baby Powder 100g"/>
    <n v="0"/>
    <n v="120"/>
    <n v="0"/>
    <x v="3"/>
    <n v="0"/>
  </r>
  <r>
    <x v="22"/>
    <x v="1"/>
    <s v="Dettol Soap 100g"/>
    <n v="1"/>
    <n v="50"/>
    <n v="50"/>
    <x v="4"/>
    <n v="12"/>
  </r>
  <r>
    <x v="22"/>
    <x v="1"/>
    <s v="Bournvita 550g"/>
    <n v="0"/>
    <n v="250"/>
    <n v="0"/>
    <x v="5"/>
    <n v="0"/>
  </r>
  <r>
    <x v="22"/>
    <x v="1"/>
    <s v="Horlicks 500g"/>
    <n v="0"/>
    <n v="249"/>
    <n v="0"/>
    <x v="5"/>
    <n v="0"/>
  </r>
  <r>
    <x v="23"/>
    <x v="2"/>
    <s v="Head and Shoulder 650ml"/>
    <n v="0"/>
    <n v="520"/>
    <n v="0"/>
    <x v="0"/>
    <n v="0"/>
  </r>
  <r>
    <x v="23"/>
    <x v="2"/>
    <s v="Indulekha Hair Oil 100ml"/>
    <n v="2"/>
    <n v="248"/>
    <n v="496"/>
    <x v="0"/>
    <n v="176"/>
  </r>
  <r>
    <x v="23"/>
    <x v="2"/>
    <s v="Listerine Mouthwash 250ml"/>
    <n v="1"/>
    <n v="200"/>
    <n v="200"/>
    <x v="1"/>
    <n v="20"/>
  </r>
  <r>
    <x v="23"/>
    <x v="2"/>
    <s v="Toothpastes"/>
    <n v="0"/>
    <n v="46"/>
    <n v="0"/>
    <x v="1"/>
    <n v="0"/>
  </r>
  <r>
    <x v="23"/>
    <x v="2"/>
    <s v="Vaseline 100ml"/>
    <n v="0"/>
    <n v="95"/>
    <n v="0"/>
    <x v="2"/>
    <n v="0"/>
  </r>
  <r>
    <x v="23"/>
    <x v="2"/>
    <s v="Boroline 20g"/>
    <n v="0"/>
    <n v="35"/>
    <n v="0"/>
    <x v="2"/>
    <n v="0"/>
  </r>
  <r>
    <x v="23"/>
    <x v="2"/>
    <s v="Pampers Diapers Pack"/>
    <n v="0"/>
    <n v="60"/>
    <n v="0"/>
    <x v="3"/>
    <n v="0"/>
  </r>
  <r>
    <x v="23"/>
    <x v="2"/>
    <s v="Johnson's Baby Powder 100g"/>
    <n v="0"/>
    <n v="120"/>
    <n v="0"/>
    <x v="3"/>
    <n v="0"/>
  </r>
  <r>
    <x v="23"/>
    <x v="2"/>
    <s v="Dettol Soap 100g"/>
    <n v="1"/>
    <n v="50"/>
    <n v="50"/>
    <x v="4"/>
    <n v="12"/>
  </r>
  <r>
    <x v="23"/>
    <x v="2"/>
    <s v="Bournvita 550g"/>
    <n v="0"/>
    <n v="250"/>
    <n v="0"/>
    <x v="5"/>
    <n v="0"/>
  </r>
  <r>
    <x v="23"/>
    <x v="2"/>
    <s v="Horlicks 500g"/>
    <n v="1"/>
    <n v="249"/>
    <n v="249"/>
    <x v="5"/>
    <n v="49"/>
  </r>
  <r>
    <x v="24"/>
    <x v="3"/>
    <s v="Head and Shoulder 650ml"/>
    <n v="0"/>
    <n v="520"/>
    <n v="0"/>
    <x v="0"/>
    <n v="0"/>
  </r>
  <r>
    <x v="24"/>
    <x v="3"/>
    <s v="Indulekha Hair Oil 100ml"/>
    <n v="0"/>
    <n v="248"/>
    <n v="0"/>
    <x v="0"/>
    <n v="0"/>
  </r>
  <r>
    <x v="24"/>
    <x v="3"/>
    <s v="Listerine Mouthwash 250ml"/>
    <n v="0"/>
    <n v="200"/>
    <n v="0"/>
    <x v="1"/>
    <n v="0"/>
  </r>
  <r>
    <x v="24"/>
    <x v="3"/>
    <s v="Toothpastes"/>
    <n v="0"/>
    <n v="46"/>
    <n v="0"/>
    <x v="1"/>
    <n v="0"/>
  </r>
  <r>
    <x v="24"/>
    <x v="3"/>
    <s v="Vaseline 100ml"/>
    <n v="1"/>
    <n v="95"/>
    <n v="95"/>
    <x v="2"/>
    <n v="10"/>
  </r>
  <r>
    <x v="24"/>
    <x v="3"/>
    <s v="Boroline 20g"/>
    <n v="0"/>
    <n v="35"/>
    <n v="0"/>
    <x v="2"/>
    <n v="0"/>
  </r>
  <r>
    <x v="24"/>
    <x v="3"/>
    <s v="Pampers Diapers Pack"/>
    <n v="2"/>
    <n v="60"/>
    <n v="120"/>
    <x v="3"/>
    <n v="40"/>
  </r>
  <r>
    <x v="24"/>
    <x v="3"/>
    <s v="Johnson's Baby Powder 100g"/>
    <n v="0"/>
    <n v="120"/>
    <n v="0"/>
    <x v="3"/>
    <n v="0"/>
  </r>
  <r>
    <x v="24"/>
    <x v="3"/>
    <s v="Dettol Soap 100g"/>
    <n v="0"/>
    <n v="50"/>
    <n v="0"/>
    <x v="4"/>
    <n v="0"/>
  </r>
  <r>
    <x v="24"/>
    <x v="3"/>
    <s v="Bournvita 550g"/>
    <n v="1"/>
    <n v="250"/>
    <n v="250"/>
    <x v="5"/>
    <n v="40"/>
  </r>
  <r>
    <x v="24"/>
    <x v="3"/>
    <s v="Horlicks 500g"/>
    <n v="2"/>
    <n v="249"/>
    <n v="498"/>
    <x v="5"/>
    <n v="98"/>
  </r>
  <r>
    <x v="25"/>
    <x v="4"/>
    <s v="Head and Shoulder 650ml"/>
    <n v="0"/>
    <n v="520"/>
    <n v="0"/>
    <x v="0"/>
    <n v="0"/>
  </r>
  <r>
    <x v="25"/>
    <x v="4"/>
    <s v="Indulekha Hair Oil 100ml"/>
    <n v="0"/>
    <n v="248"/>
    <n v="0"/>
    <x v="0"/>
    <n v="0"/>
  </r>
  <r>
    <x v="25"/>
    <x v="4"/>
    <s v="Listerine Mouthwash 250ml"/>
    <n v="0"/>
    <n v="200"/>
    <n v="0"/>
    <x v="1"/>
    <n v="0"/>
  </r>
  <r>
    <x v="25"/>
    <x v="4"/>
    <s v="Toothpastes"/>
    <n v="5"/>
    <n v="46"/>
    <n v="230"/>
    <x v="1"/>
    <n v="80"/>
  </r>
  <r>
    <x v="25"/>
    <x v="4"/>
    <s v="Vaseline 100ml"/>
    <n v="0"/>
    <n v="95"/>
    <n v="0"/>
    <x v="2"/>
    <n v="0"/>
  </r>
  <r>
    <x v="25"/>
    <x v="4"/>
    <s v="Boroline 20g"/>
    <n v="0"/>
    <n v="35"/>
    <n v="0"/>
    <x v="2"/>
    <n v="0"/>
  </r>
  <r>
    <x v="25"/>
    <x v="4"/>
    <s v="Pampers Diapers Pack"/>
    <n v="1"/>
    <n v="60"/>
    <n v="60"/>
    <x v="3"/>
    <n v="20"/>
  </r>
  <r>
    <x v="25"/>
    <x v="4"/>
    <s v="Johnson's Baby Powder 100g"/>
    <n v="0"/>
    <n v="120"/>
    <n v="0"/>
    <x v="3"/>
    <n v="0"/>
  </r>
  <r>
    <x v="25"/>
    <x v="4"/>
    <s v="Dettol Soap 100g"/>
    <n v="2"/>
    <n v="50"/>
    <n v="100"/>
    <x v="4"/>
    <n v="24"/>
  </r>
  <r>
    <x v="25"/>
    <x v="4"/>
    <s v="Bournvita 550g"/>
    <n v="0"/>
    <n v="250"/>
    <n v="0"/>
    <x v="5"/>
    <n v="0"/>
  </r>
  <r>
    <x v="25"/>
    <x v="4"/>
    <s v="Horlicks 500g"/>
    <n v="0"/>
    <n v="249"/>
    <n v="0"/>
    <x v="5"/>
    <n v="0"/>
  </r>
  <r>
    <x v="26"/>
    <x v="5"/>
    <s v="Head and Shoulder 650ml"/>
    <n v="2"/>
    <n v="520"/>
    <n v="1040"/>
    <x v="0"/>
    <n v="40"/>
  </r>
  <r>
    <x v="26"/>
    <x v="5"/>
    <s v="Indulekha Hair Oil 100ml"/>
    <n v="0"/>
    <n v="248"/>
    <n v="0"/>
    <x v="0"/>
    <n v="0"/>
  </r>
  <r>
    <x v="26"/>
    <x v="5"/>
    <s v="Listerine Mouthwash 250ml"/>
    <n v="0"/>
    <n v="200"/>
    <n v="0"/>
    <x v="1"/>
    <n v="0"/>
  </r>
  <r>
    <x v="26"/>
    <x v="5"/>
    <s v="Toothpastes"/>
    <n v="0"/>
    <n v="46"/>
    <n v="0"/>
    <x v="1"/>
    <n v="0"/>
  </r>
  <r>
    <x v="26"/>
    <x v="5"/>
    <s v="Vaseline 100ml"/>
    <n v="1"/>
    <n v="95"/>
    <n v="95"/>
    <x v="2"/>
    <n v="10"/>
  </r>
  <r>
    <x v="26"/>
    <x v="5"/>
    <s v="Boroline 20g"/>
    <n v="1"/>
    <n v="35"/>
    <n v="35"/>
    <x v="2"/>
    <n v="7"/>
  </r>
  <r>
    <x v="26"/>
    <x v="5"/>
    <s v="Pampers Diapers Pack"/>
    <n v="0"/>
    <n v="60"/>
    <n v="0"/>
    <x v="3"/>
    <n v="0"/>
  </r>
  <r>
    <x v="26"/>
    <x v="5"/>
    <s v="Johnson's Baby Powder 100g"/>
    <n v="0"/>
    <n v="120"/>
    <n v="0"/>
    <x v="3"/>
    <n v="0"/>
  </r>
  <r>
    <x v="26"/>
    <x v="5"/>
    <s v="Dettol Soap 100g"/>
    <n v="1"/>
    <n v="50"/>
    <n v="50"/>
    <x v="4"/>
    <n v="12"/>
  </r>
  <r>
    <x v="26"/>
    <x v="5"/>
    <s v="Bournvita 550g"/>
    <n v="0"/>
    <n v="250"/>
    <n v="0"/>
    <x v="5"/>
    <n v="0"/>
  </r>
  <r>
    <x v="26"/>
    <x v="5"/>
    <s v="Horlicks 500g"/>
    <n v="0"/>
    <n v="249"/>
    <n v="0"/>
    <x v="5"/>
    <n v="0"/>
  </r>
  <r>
    <x v="27"/>
    <x v="6"/>
    <s v="Head and Shoulder 650ml"/>
    <n v="0"/>
    <n v="520"/>
    <n v="0"/>
    <x v="0"/>
    <n v="0"/>
  </r>
  <r>
    <x v="27"/>
    <x v="6"/>
    <s v="Indulekha Hair Oil 100ml"/>
    <n v="1"/>
    <n v="248"/>
    <n v="248"/>
    <x v="0"/>
    <n v="88"/>
  </r>
  <r>
    <x v="27"/>
    <x v="6"/>
    <s v="Listerine Mouthwash 250ml"/>
    <n v="0"/>
    <n v="200"/>
    <n v="0"/>
    <x v="1"/>
    <n v="0"/>
  </r>
  <r>
    <x v="27"/>
    <x v="6"/>
    <s v="Toothpastes"/>
    <n v="0"/>
    <n v="46"/>
    <n v="0"/>
    <x v="1"/>
    <n v="0"/>
  </r>
  <r>
    <x v="27"/>
    <x v="6"/>
    <s v="Vaseline 100ml"/>
    <n v="0"/>
    <n v="95"/>
    <n v="0"/>
    <x v="2"/>
    <n v="0"/>
  </r>
  <r>
    <x v="27"/>
    <x v="6"/>
    <s v="Boroline 20g"/>
    <n v="0"/>
    <n v="35"/>
    <n v="0"/>
    <x v="2"/>
    <n v="0"/>
  </r>
  <r>
    <x v="27"/>
    <x v="6"/>
    <s v="Pampers Diapers Pack"/>
    <n v="0"/>
    <n v="60"/>
    <n v="0"/>
    <x v="3"/>
    <n v="0"/>
  </r>
  <r>
    <x v="27"/>
    <x v="6"/>
    <s v="Johnson's Baby Powder 100g"/>
    <n v="0"/>
    <n v="120"/>
    <n v="0"/>
    <x v="3"/>
    <n v="0"/>
  </r>
  <r>
    <x v="27"/>
    <x v="6"/>
    <s v="Dettol Soap 100g"/>
    <n v="1"/>
    <n v="50"/>
    <n v="50"/>
    <x v="4"/>
    <n v="12"/>
  </r>
  <r>
    <x v="27"/>
    <x v="6"/>
    <s v="Bournvita 550g"/>
    <n v="2"/>
    <n v="250"/>
    <n v="500"/>
    <x v="5"/>
    <n v="80"/>
  </r>
  <r>
    <x v="27"/>
    <x v="6"/>
    <s v="Horlicks 500g"/>
    <n v="1"/>
    <n v="249"/>
    <n v="249"/>
    <x v="5"/>
    <n v="49"/>
  </r>
  <r>
    <x v="28"/>
    <x v="0"/>
    <s v="Head and Shoulder 650ml"/>
    <n v="0"/>
    <n v="520"/>
    <n v="0"/>
    <x v="0"/>
    <n v="0"/>
  </r>
  <r>
    <x v="28"/>
    <x v="0"/>
    <s v="Indulekha Hair Oil 100ml"/>
    <n v="1"/>
    <n v="248"/>
    <n v="248"/>
    <x v="0"/>
    <n v="88"/>
  </r>
  <r>
    <x v="28"/>
    <x v="0"/>
    <s v="Listerine Mouthwash 250ml"/>
    <n v="0"/>
    <n v="200"/>
    <n v="0"/>
    <x v="1"/>
    <n v="0"/>
  </r>
  <r>
    <x v="28"/>
    <x v="0"/>
    <s v="Toothpastes"/>
    <n v="2"/>
    <n v="46"/>
    <n v="92"/>
    <x v="1"/>
    <n v="32"/>
  </r>
  <r>
    <x v="28"/>
    <x v="0"/>
    <s v="Vaseline 100ml"/>
    <n v="1"/>
    <n v="95"/>
    <n v="95"/>
    <x v="2"/>
    <n v="10"/>
  </r>
  <r>
    <x v="28"/>
    <x v="0"/>
    <s v="Boroline 20g"/>
    <n v="1"/>
    <n v="35"/>
    <n v="35"/>
    <x v="2"/>
    <n v="7"/>
  </r>
  <r>
    <x v="28"/>
    <x v="0"/>
    <s v="Pampers Diapers Pack"/>
    <n v="0"/>
    <n v="60"/>
    <n v="0"/>
    <x v="3"/>
    <n v="0"/>
  </r>
  <r>
    <x v="28"/>
    <x v="0"/>
    <s v="Johnson's Baby Powder 100g"/>
    <n v="2"/>
    <n v="120"/>
    <n v="240"/>
    <x v="3"/>
    <n v="20"/>
  </r>
  <r>
    <x v="28"/>
    <x v="0"/>
    <s v="Dettol Soap 100g"/>
    <n v="1"/>
    <n v="50"/>
    <n v="50"/>
    <x v="4"/>
    <n v="12"/>
  </r>
  <r>
    <x v="28"/>
    <x v="0"/>
    <s v="Bournvita 550g"/>
    <n v="1"/>
    <n v="250"/>
    <n v="250"/>
    <x v="5"/>
    <n v="40"/>
  </r>
  <r>
    <x v="28"/>
    <x v="0"/>
    <s v="Horlicks 500g"/>
    <n v="1"/>
    <n v="249"/>
    <n v="249"/>
    <x v="5"/>
    <n v="49"/>
  </r>
  <r>
    <x v="29"/>
    <x v="1"/>
    <s v="Head and Shoulder 650ml"/>
    <n v="0"/>
    <n v="520"/>
    <n v="0"/>
    <x v="0"/>
    <n v="0"/>
  </r>
  <r>
    <x v="29"/>
    <x v="1"/>
    <s v="Indulekha Hair Oil 100ml"/>
    <n v="0"/>
    <n v="248"/>
    <n v="0"/>
    <x v="0"/>
    <n v="0"/>
  </r>
  <r>
    <x v="29"/>
    <x v="1"/>
    <s v="Listerine Mouthwash 250ml"/>
    <n v="0"/>
    <n v="200"/>
    <n v="0"/>
    <x v="1"/>
    <n v="0"/>
  </r>
  <r>
    <x v="29"/>
    <x v="1"/>
    <s v="Toothpastes"/>
    <n v="0"/>
    <n v="46"/>
    <n v="0"/>
    <x v="1"/>
    <n v="0"/>
  </r>
  <r>
    <x v="29"/>
    <x v="1"/>
    <s v="Vaseline 100ml"/>
    <n v="0"/>
    <n v="95"/>
    <n v="0"/>
    <x v="2"/>
    <n v="0"/>
  </r>
  <r>
    <x v="29"/>
    <x v="1"/>
    <s v="Boroline 20g"/>
    <n v="0"/>
    <n v="35"/>
    <n v="0"/>
    <x v="2"/>
    <n v="0"/>
  </r>
  <r>
    <x v="29"/>
    <x v="1"/>
    <s v="Pampers Diapers Pack"/>
    <n v="1"/>
    <n v="60"/>
    <n v="60"/>
    <x v="3"/>
    <n v="20"/>
  </r>
  <r>
    <x v="29"/>
    <x v="1"/>
    <s v="Johnson's Baby Powder 100g"/>
    <n v="0"/>
    <n v="120"/>
    <n v="0"/>
    <x v="3"/>
    <n v="0"/>
  </r>
  <r>
    <x v="29"/>
    <x v="1"/>
    <s v="Dettol Soap 100g"/>
    <n v="0"/>
    <n v="50"/>
    <n v="0"/>
    <x v="4"/>
    <n v="0"/>
  </r>
  <r>
    <x v="29"/>
    <x v="1"/>
    <s v="Bournvita 550g"/>
    <n v="1"/>
    <n v="250"/>
    <n v="250"/>
    <x v="5"/>
    <n v="40"/>
  </r>
  <r>
    <x v="29"/>
    <x v="1"/>
    <s v="Horlicks 500g"/>
    <n v="0"/>
    <n v="249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93C22-B5FA-4544-BFCF-C558091956B4}" name="PivotTable29" cacheId="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4:K52" firstHeaderRow="1" firstDataRow="1" firstDataCol="1"/>
  <pivotFields count="9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>
      <items count="7">
        <item x="3"/>
        <item x="0"/>
        <item x="4"/>
        <item x="5"/>
        <item x="1"/>
        <item x="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EB377-3BFD-456C-AA66-32F98E7ED9A5}" name="PivotTable39" cacheId="7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4:B26" firstHeaderRow="1" firstDataRow="1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12">
        <item x="5"/>
        <item x="9"/>
        <item x="8"/>
        <item x="0"/>
        <item x="10"/>
        <item x="1"/>
        <item x="7"/>
        <item x="2"/>
        <item x="6"/>
        <item x="3"/>
        <item x="4"/>
        <item t="default"/>
      </items>
    </pivotField>
    <pivotField showAll="0"/>
    <pivotField showAll="0"/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43374-BA5F-4752-9EA6-CA6A24F7BAAD}" name="PivotTable3" cacheId="7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7">
        <item x="3"/>
        <item x="0"/>
        <item x="4"/>
        <item x="5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F33F8-A0F6-483C-8999-F985AD4514ED}" name="PivotTable18" cacheId="5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:B14" firstHeaderRow="1" firstDataRow="1" firstDataCol="1"/>
  <pivotFields count="10">
    <pivotField showAll="0">
      <items count="11">
        <item x="8"/>
        <item x="3"/>
        <item x="0"/>
        <item x="5"/>
        <item x="2"/>
        <item x="1"/>
        <item x="4"/>
        <item x="6"/>
        <item x="9"/>
        <item x="7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showAll="0"/>
    <pivotField dataField="1"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E88F-C6AF-4ED5-BFFB-C1621E8CC76A}">
  <dimension ref="A1:I25"/>
  <sheetViews>
    <sheetView zoomScale="94" workbookViewId="0">
      <selection activeCell="D2" sqref="D2"/>
    </sheetView>
  </sheetViews>
  <sheetFormatPr defaultRowHeight="14.4" x14ac:dyDescent="0.3"/>
  <cols>
    <col min="1" max="1" width="26.109375" style="2" customWidth="1"/>
    <col min="2" max="2" width="16.88671875" style="9" customWidth="1"/>
    <col min="3" max="3" width="10.77734375" style="2" bestFit="1" customWidth="1"/>
    <col min="4" max="4" width="8.88671875" style="2"/>
    <col min="5" max="5" width="10.33203125" style="2" bestFit="1" customWidth="1"/>
    <col min="6" max="6" width="15.77734375" style="2" customWidth="1"/>
    <col min="7" max="7" width="19.88671875" style="13" customWidth="1"/>
    <col min="8" max="8" width="22.5546875" style="2" bestFit="1" customWidth="1"/>
    <col min="9" max="9" width="24.21875" bestFit="1" customWidth="1"/>
  </cols>
  <sheetData>
    <row r="1" spans="1:9" x14ac:dyDescent="0.3">
      <c r="A1" s="8" t="s">
        <v>0</v>
      </c>
      <c r="B1" s="11" t="s">
        <v>1</v>
      </c>
      <c r="C1" s="8" t="s">
        <v>2</v>
      </c>
      <c r="D1" s="8" t="s">
        <v>3</v>
      </c>
      <c r="E1" s="8" t="s">
        <v>8</v>
      </c>
      <c r="F1" s="8" t="s">
        <v>4</v>
      </c>
      <c r="G1" s="12" t="s">
        <v>10</v>
      </c>
      <c r="H1" s="10" t="s">
        <v>15</v>
      </c>
      <c r="I1" s="4" t="s">
        <v>103</v>
      </c>
    </row>
    <row r="2" spans="1:9" x14ac:dyDescent="0.3">
      <c r="A2" s="2" t="s">
        <v>16</v>
      </c>
      <c r="B2" s="9">
        <v>45797</v>
      </c>
      <c r="C2" s="9">
        <v>46600</v>
      </c>
      <c r="D2" s="2">
        <v>10</v>
      </c>
      <c r="E2" s="2">
        <v>35</v>
      </c>
      <c r="F2" s="2">
        <f>D2*E2</f>
        <v>350</v>
      </c>
      <c r="G2" s="13" t="s">
        <v>13</v>
      </c>
      <c r="H2" s="2" t="str">
        <f>VLOOKUP(A2,'Medicinal details'!A2:C11,3,FALSE)</f>
        <v>Digestive aids</v>
      </c>
      <c r="I2">
        <f>C2-B2</f>
        <v>803</v>
      </c>
    </row>
    <row r="3" spans="1:9" x14ac:dyDescent="0.3">
      <c r="A3" s="2" t="s">
        <v>6</v>
      </c>
      <c r="B3" s="9">
        <v>45797</v>
      </c>
      <c r="C3" s="9">
        <v>46235</v>
      </c>
      <c r="D3" s="2">
        <v>20</v>
      </c>
      <c r="E3" s="2">
        <v>8.4</v>
      </c>
      <c r="F3" s="2">
        <f t="shared" ref="F3:F25" si="0">D3*E3</f>
        <v>168</v>
      </c>
      <c r="G3" s="13" t="s">
        <v>13</v>
      </c>
      <c r="H3" s="2" t="str">
        <f>VLOOKUP(A3,'Medicinal details'!A3:C11,3,FALSE)</f>
        <v>Cold and Flu remedies</v>
      </c>
      <c r="I3">
        <f t="shared" ref="I3:I25" si="1">C3-B3</f>
        <v>438</v>
      </c>
    </row>
    <row r="4" spans="1:9" x14ac:dyDescent="0.3">
      <c r="A4" s="2" t="s">
        <v>16</v>
      </c>
      <c r="B4" s="9">
        <v>45797</v>
      </c>
      <c r="C4" s="9">
        <v>46600</v>
      </c>
      <c r="D4" s="2">
        <v>20</v>
      </c>
      <c r="E4" s="2">
        <v>35</v>
      </c>
      <c r="F4" s="2">
        <f t="shared" si="0"/>
        <v>700</v>
      </c>
      <c r="G4" s="13" t="s">
        <v>13</v>
      </c>
      <c r="H4" s="2" t="str">
        <f>VLOOKUP(A4,'Medicinal details'!A2:C11,3,FALSE)</f>
        <v>Digestive aids</v>
      </c>
      <c r="I4">
        <f t="shared" si="1"/>
        <v>803</v>
      </c>
    </row>
    <row r="5" spans="1:9" x14ac:dyDescent="0.3">
      <c r="A5" s="2" t="s">
        <v>7</v>
      </c>
      <c r="B5" s="9">
        <v>45797</v>
      </c>
      <c r="C5" s="9">
        <v>46600</v>
      </c>
      <c r="D5" s="2">
        <v>6</v>
      </c>
      <c r="E5" s="2">
        <v>36</v>
      </c>
      <c r="F5" s="2">
        <f t="shared" si="0"/>
        <v>216</v>
      </c>
      <c r="G5" s="13" t="s">
        <v>13</v>
      </c>
      <c r="H5" s="2" t="str">
        <f>VLOOKUP(A5,'Medicinal details'!A3:C11,3,FALSE)</f>
        <v>Digestive aids</v>
      </c>
      <c r="I5">
        <f t="shared" si="1"/>
        <v>803</v>
      </c>
    </row>
    <row r="6" spans="1:9" x14ac:dyDescent="0.3">
      <c r="A6" s="2" t="s">
        <v>21</v>
      </c>
      <c r="B6" s="9">
        <v>45797</v>
      </c>
      <c r="C6" s="9">
        <v>46204</v>
      </c>
      <c r="D6" s="2">
        <v>20</v>
      </c>
      <c r="E6" s="2">
        <v>9.5</v>
      </c>
      <c r="F6" s="2">
        <f t="shared" si="0"/>
        <v>190</v>
      </c>
      <c r="G6" s="13" t="s">
        <v>13</v>
      </c>
      <c r="H6" s="2" t="str">
        <f>VLOOKUP(A6,'Medicinal details'!A5:C11,3,FALSE)</f>
        <v>Supplements and Vitamins</v>
      </c>
      <c r="I6">
        <f t="shared" si="1"/>
        <v>407</v>
      </c>
    </row>
    <row r="7" spans="1:9" x14ac:dyDescent="0.3">
      <c r="A7" s="2" t="s">
        <v>9</v>
      </c>
      <c r="B7" s="9">
        <v>45802</v>
      </c>
      <c r="C7" s="9">
        <v>46174</v>
      </c>
      <c r="D7" s="2">
        <v>20</v>
      </c>
      <c r="E7" s="2">
        <v>33.93</v>
      </c>
      <c r="F7" s="2">
        <f t="shared" si="0"/>
        <v>678.6</v>
      </c>
      <c r="G7" s="13" t="s">
        <v>12</v>
      </c>
      <c r="H7" s="2" t="str">
        <f>VLOOKUP(A7,'Medicinal details'!A5:C11,3,FALSE)</f>
        <v>Supplements and Vitamins</v>
      </c>
      <c r="I7">
        <f t="shared" si="1"/>
        <v>372</v>
      </c>
    </row>
    <row r="8" spans="1:9" x14ac:dyDescent="0.3">
      <c r="A8" s="2" t="s">
        <v>14</v>
      </c>
      <c r="B8" s="9">
        <v>45802</v>
      </c>
      <c r="C8" s="9">
        <v>45992</v>
      </c>
      <c r="D8" s="2">
        <v>2</v>
      </c>
      <c r="E8" s="2">
        <v>220</v>
      </c>
      <c r="F8" s="2">
        <f t="shared" si="0"/>
        <v>440</v>
      </c>
      <c r="G8" s="13" t="s">
        <v>11</v>
      </c>
      <c r="H8" s="2" t="str">
        <f>VLOOKUP(A8,'Medicinal details'!A7:C11,3,FALSE)</f>
        <v>Cold and Flu remedies</v>
      </c>
      <c r="I8">
        <f t="shared" si="1"/>
        <v>190</v>
      </c>
    </row>
    <row r="9" spans="1:9" x14ac:dyDescent="0.3">
      <c r="A9" s="2" t="s">
        <v>16</v>
      </c>
      <c r="B9" s="9">
        <v>45804</v>
      </c>
      <c r="C9" s="9">
        <v>46600</v>
      </c>
      <c r="D9" s="2">
        <v>10</v>
      </c>
      <c r="E9" s="2">
        <v>35</v>
      </c>
      <c r="F9" s="2">
        <f t="shared" si="0"/>
        <v>350</v>
      </c>
      <c r="G9" s="13" t="s">
        <v>13</v>
      </c>
      <c r="H9" s="2" t="str">
        <f>VLOOKUP(A9,'Medicinal details'!$A$1:$C$11,3,FALSE)</f>
        <v>Digestive aids</v>
      </c>
      <c r="I9">
        <f t="shared" si="1"/>
        <v>796</v>
      </c>
    </row>
    <row r="10" spans="1:9" x14ac:dyDescent="0.3">
      <c r="A10" s="2" t="s">
        <v>7</v>
      </c>
      <c r="B10" s="9">
        <v>45804</v>
      </c>
      <c r="C10" s="9">
        <v>46600</v>
      </c>
      <c r="D10" s="2">
        <v>6</v>
      </c>
      <c r="E10" s="2">
        <v>36</v>
      </c>
      <c r="F10" s="2">
        <f t="shared" si="0"/>
        <v>216</v>
      </c>
      <c r="G10" s="13" t="s">
        <v>13</v>
      </c>
      <c r="H10" s="2" t="str">
        <f>VLOOKUP(A10,'Medicinal details'!$A$1:$C$11,3,FALSE)</f>
        <v>Digestive aids</v>
      </c>
      <c r="I10">
        <f t="shared" si="1"/>
        <v>796</v>
      </c>
    </row>
    <row r="11" spans="1:9" x14ac:dyDescent="0.3">
      <c r="A11" s="2" t="s">
        <v>17</v>
      </c>
      <c r="B11" s="9">
        <v>45804</v>
      </c>
      <c r="C11" s="9">
        <v>46054</v>
      </c>
      <c r="D11" s="2">
        <v>60</v>
      </c>
      <c r="E11" s="2">
        <v>5</v>
      </c>
      <c r="F11" s="2">
        <f t="shared" si="0"/>
        <v>300</v>
      </c>
      <c r="G11" s="13" t="s">
        <v>13</v>
      </c>
      <c r="H11" s="2" t="str">
        <f>VLOOKUP(A11,'Medicinal details'!$A$1:$C$11,3,FALSE)</f>
        <v>Pain reliever</v>
      </c>
      <c r="I11">
        <f t="shared" si="1"/>
        <v>250</v>
      </c>
    </row>
    <row r="12" spans="1:9" x14ac:dyDescent="0.3">
      <c r="A12" s="2" t="s">
        <v>18</v>
      </c>
      <c r="B12" s="9">
        <v>45804</v>
      </c>
      <c r="C12" s="9">
        <v>46296</v>
      </c>
      <c r="D12" s="2">
        <v>40</v>
      </c>
      <c r="E12" s="2">
        <v>9.25</v>
      </c>
      <c r="F12" s="2">
        <f t="shared" si="0"/>
        <v>370</v>
      </c>
      <c r="G12" s="13" t="s">
        <v>13</v>
      </c>
      <c r="H12" s="2" t="str">
        <f>VLOOKUP(A12,'Medicinal details'!$A$1:$C$11,3,FALSE)</f>
        <v>Antibiotics</v>
      </c>
      <c r="I12">
        <f t="shared" si="1"/>
        <v>492</v>
      </c>
    </row>
    <row r="13" spans="1:9" x14ac:dyDescent="0.3">
      <c r="A13" s="2" t="s">
        <v>6</v>
      </c>
      <c r="B13" s="9">
        <v>45804</v>
      </c>
      <c r="C13" s="9">
        <v>46235</v>
      </c>
      <c r="D13" s="2">
        <v>10</v>
      </c>
      <c r="E13" s="2">
        <v>8.4</v>
      </c>
      <c r="F13" s="2">
        <f t="shared" si="0"/>
        <v>84</v>
      </c>
      <c r="G13" s="13" t="s">
        <v>13</v>
      </c>
      <c r="H13" s="2" t="str">
        <f>VLOOKUP(A13,'Medicinal details'!$A$1:$C$11,3,FALSE)</f>
        <v>Cold and Flu remedies</v>
      </c>
      <c r="I13">
        <f t="shared" si="1"/>
        <v>431</v>
      </c>
    </row>
    <row r="14" spans="1:9" x14ac:dyDescent="0.3">
      <c r="A14" s="2" t="s">
        <v>9</v>
      </c>
      <c r="B14" s="9">
        <v>45807</v>
      </c>
      <c r="C14" s="9">
        <v>46174</v>
      </c>
      <c r="D14" s="2">
        <v>10</v>
      </c>
      <c r="E14" s="2">
        <v>33.93</v>
      </c>
      <c r="F14" s="2">
        <f t="shared" si="0"/>
        <v>339.3</v>
      </c>
      <c r="G14" s="13" t="s">
        <v>12</v>
      </c>
      <c r="H14" s="2" t="str">
        <f>VLOOKUP(A14,'Medicinal details'!$A$1:$C$11,3,FALSE)</f>
        <v>Supplements and Vitamins</v>
      </c>
      <c r="I14">
        <f t="shared" si="1"/>
        <v>367</v>
      </c>
    </row>
    <row r="15" spans="1:9" x14ac:dyDescent="0.3">
      <c r="A15" s="2" t="s">
        <v>14</v>
      </c>
      <c r="B15" s="9">
        <v>45807</v>
      </c>
      <c r="C15" s="9">
        <v>46388</v>
      </c>
      <c r="D15" s="2">
        <v>1</v>
      </c>
      <c r="E15" s="2">
        <v>220</v>
      </c>
      <c r="F15" s="2">
        <f t="shared" si="0"/>
        <v>220</v>
      </c>
      <c r="G15" s="13" t="s">
        <v>11</v>
      </c>
      <c r="H15" s="2" t="str">
        <f>VLOOKUP(A15,'Medicinal details'!$A$1:$C$11,3,FALSE)</f>
        <v>Cold and Flu remedies</v>
      </c>
      <c r="I15">
        <f t="shared" si="1"/>
        <v>581</v>
      </c>
    </row>
    <row r="16" spans="1:9" x14ac:dyDescent="0.3">
      <c r="A16" s="2" t="s">
        <v>19</v>
      </c>
      <c r="B16" s="9">
        <v>45814</v>
      </c>
      <c r="C16" s="9">
        <v>45931</v>
      </c>
      <c r="D16" s="2">
        <v>20</v>
      </c>
      <c r="E16" s="2">
        <v>40.18</v>
      </c>
      <c r="F16" s="2">
        <f t="shared" si="0"/>
        <v>803.6</v>
      </c>
      <c r="G16" s="13" t="s">
        <v>12</v>
      </c>
      <c r="H16" s="2" t="str">
        <f>VLOOKUP(A16,'Medicinal details'!$A$1:$C$11,3,FALSE)</f>
        <v>Antibiotics</v>
      </c>
      <c r="I16">
        <f t="shared" si="1"/>
        <v>117</v>
      </c>
    </row>
    <row r="17" spans="1:9" x14ac:dyDescent="0.3">
      <c r="A17" s="2" t="s">
        <v>9</v>
      </c>
      <c r="B17" s="9">
        <v>45814</v>
      </c>
      <c r="C17" s="9">
        <v>46174</v>
      </c>
      <c r="D17" s="2">
        <v>20</v>
      </c>
      <c r="E17" s="2">
        <v>33.93</v>
      </c>
      <c r="F17" s="2">
        <f t="shared" si="0"/>
        <v>678.6</v>
      </c>
      <c r="G17" s="13" t="s">
        <v>12</v>
      </c>
      <c r="H17" s="2" t="str">
        <f>VLOOKUP(A17,'Medicinal details'!$A$1:$C$11,3,FALSE)</f>
        <v>Supplements and Vitamins</v>
      </c>
      <c r="I17">
        <f t="shared" si="1"/>
        <v>360</v>
      </c>
    </row>
    <row r="18" spans="1:9" x14ac:dyDescent="0.3">
      <c r="A18" s="2" t="s">
        <v>16</v>
      </c>
      <c r="B18" s="9">
        <v>45822</v>
      </c>
      <c r="C18" s="9">
        <v>46600</v>
      </c>
      <c r="D18" s="2">
        <v>10</v>
      </c>
      <c r="E18" s="2">
        <v>35</v>
      </c>
      <c r="F18" s="2">
        <f t="shared" si="0"/>
        <v>350</v>
      </c>
      <c r="G18" s="13" t="s">
        <v>13</v>
      </c>
      <c r="H18" s="2" t="str">
        <f>VLOOKUP(A18,'Medicinal details'!$A$1:$C$11,3,FALSE)</f>
        <v>Digestive aids</v>
      </c>
      <c r="I18">
        <f t="shared" si="1"/>
        <v>778</v>
      </c>
    </row>
    <row r="19" spans="1:9" x14ac:dyDescent="0.3">
      <c r="A19" s="2" t="s">
        <v>18</v>
      </c>
      <c r="B19" s="9">
        <v>45822</v>
      </c>
      <c r="C19" s="9">
        <v>46296</v>
      </c>
      <c r="D19" s="2">
        <v>40</v>
      </c>
      <c r="E19" s="2">
        <v>9.25</v>
      </c>
      <c r="F19" s="2">
        <f t="shared" si="0"/>
        <v>370</v>
      </c>
      <c r="G19" s="13" t="s">
        <v>13</v>
      </c>
      <c r="H19" s="2" t="str">
        <f>VLOOKUP(A19,'Medicinal details'!$A$1:$C$11,3,FALSE)</f>
        <v>Antibiotics</v>
      </c>
      <c r="I19">
        <f t="shared" si="1"/>
        <v>474</v>
      </c>
    </row>
    <row r="20" spans="1:9" x14ac:dyDescent="0.3">
      <c r="A20" s="2" t="s">
        <v>17</v>
      </c>
      <c r="B20" s="9">
        <v>45822</v>
      </c>
      <c r="C20" s="9">
        <v>46054</v>
      </c>
      <c r="D20" s="2">
        <v>30</v>
      </c>
      <c r="E20" s="2">
        <v>5</v>
      </c>
      <c r="F20" s="2">
        <f t="shared" si="0"/>
        <v>150</v>
      </c>
      <c r="G20" s="13" t="s">
        <v>13</v>
      </c>
      <c r="H20" s="2" t="str">
        <f>VLOOKUP(A20,'Medicinal details'!$A$1:$C$11,3,FALSE)</f>
        <v>Pain reliever</v>
      </c>
      <c r="I20">
        <f t="shared" si="1"/>
        <v>232</v>
      </c>
    </row>
    <row r="21" spans="1:9" x14ac:dyDescent="0.3">
      <c r="A21" s="2" t="s">
        <v>20</v>
      </c>
      <c r="B21" s="9">
        <v>45824</v>
      </c>
      <c r="C21" s="9">
        <v>46266</v>
      </c>
      <c r="D21" s="2">
        <v>20</v>
      </c>
      <c r="E21" s="2">
        <v>5</v>
      </c>
      <c r="F21" s="2">
        <f t="shared" si="0"/>
        <v>100</v>
      </c>
      <c r="G21" s="13" t="s">
        <v>13</v>
      </c>
      <c r="H21" s="2" t="str">
        <f>VLOOKUP(A21,'Medicinal details'!$A$1:$C$11,3,FALSE)</f>
        <v>Pain reliever</v>
      </c>
      <c r="I21">
        <f t="shared" si="1"/>
        <v>442</v>
      </c>
    </row>
    <row r="22" spans="1:9" x14ac:dyDescent="0.3">
      <c r="A22" s="2" t="s">
        <v>18</v>
      </c>
      <c r="B22" s="9">
        <v>45824</v>
      </c>
      <c r="C22" s="9">
        <v>46296</v>
      </c>
      <c r="D22" s="2">
        <v>40</v>
      </c>
      <c r="E22" s="2">
        <v>9.25</v>
      </c>
      <c r="F22" s="2">
        <f t="shared" si="0"/>
        <v>370</v>
      </c>
      <c r="G22" s="13" t="s">
        <v>13</v>
      </c>
      <c r="H22" s="2" t="str">
        <f>VLOOKUP(A22,'Medicinal details'!$A$1:$C$11,3,FALSE)</f>
        <v>Antibiotics</v>
      </c>
      <c r="I22">
        <f t="shared" si="1"/>
        <v>472</v>
      </c>
    </row>
    <row r="23" spans="1:9" x14ac:dyDescent="0.3">
      <c r="A23" s="2" t="s">
        <v>21</v>
      </c>
      <c r="B23" s="9">
        <v>45824</v>
      </c>
      <c r="C23" s="9">
        <v>46204</v>
      </c>
      <c r="D23" s="2">
        <v>20</v>
      </c>
      <c r="E23" s="2">
        <v>9.5</v>
      </c>
      <c r="F23" s="2">
        <f t="shared" si="0"/>
        <v>190</v>
      </c>
      <c r="G23" s="13" t="s">
        <v>13</v>
      </c>
      <c r="H23" s="2" t="str">
        <f>VLOOKUP(A23,'Medicinal details'!$A$1:$C$11,3,FALSE)</f>
        <v>Supplements and Vitamins</v>
      </c>
      <c r="I23">
        <f t="shared" si="1"/>
        <v>380</v>
      </c>
    </row>
    <row r="24" spans="1:9" x14ac:dyDescent="0.3">
      <c r="A24" s="2" t="s">
        <v>6</v>
      </c>
      <c r="B24" s="9">
        <v>45824</v>
      </c>
      <c r="C24" s="9">
        <v>46235</v>
      </c>
      <c r="D24" s="2">
        <v>40</v>
      </c>
      <c r="E24" s="2">
        <v>8.4</v>
      </c>
      <c r="F24" s="2">
        <f t="shared" si="0"/>
        <v>336</v>
      </c>
      <c r="G24" s="13" t="s">
        <v>13</v>
      </c>
      <c r="H24" s="2" t="str">
        <f>VLOOKUP(A24,'Medicinal details'!$A$1:$C$11,3,FALSE)</f>
        <v>Cold and Flu remedies</v>
      </c>
      <c r="I24">
        <f t="shared" si="1"/>
        <v>411</v>
      </c>
    </row>
    <row r="25" spans="1:9" x14ac:dyDescent="0.3">
      <c r="A25" s="2" t="s">
        <v>16</v>
      </c>
      <c r="B25" s="9">
        <v>45824</v>
      </c>
      <c r="C25" s="9">
        <v>46600</v>
      </c>
      <c r="D25" s="2">
        <v>6</v>
      </c>
      <c r="E25" s="2">
        <v>35</v>
      </c>
      <c r="F25" s="2">
        <f t="shared" si="0"/>
        <v>210</v>
      </c>
      <c r="G25" s="13" t="s">
        <v>13</v>
      </c>
      <c r="H25" s="2" t="str">
        <f>VLOOKUP(A25,'Medicinal details'!$A$1:$C$11,3,FALSE)</f>
        <v>Digestive aids</v>
      </c>
      <c r="I25">
        <f t="shared" si="1"/>
        <v>776</v>
      </c>
    </row>
  </sheetData>
  <pageMargins left="0.7" right="0.7" top="0.75" bottom="0.75" header="0.3" footer="0.3"/>
  <pageSetup orientation="portrait" r:id="rId1"/>
  <ignoredErrors>
    <ignoredError sqref="H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805C-38F3-4CD2-8863-53D6F0F67603}">
  <dimension ref="A2:H332"/>
  <sheetViews>
    <sheetView tabSelected="1" topLeftCell="A2" workbookViewId="0">
      <selection activeCell="J12" sqref="J12"/>
    </sheetView>
  </sheetViews>
  <sheetFormatPr defaultRowHeight="14.4" x14ac:dyDescent="0.3"/>
  <cols>
    <col min="1" max="2" width="14" style="2" customWidth="1"/>
    <col min="3" max="3" width="24.6640625" style="2" bestFit="1" customWidth="1"/>
    <col min="4" max="4" width="9.109375" style="2" bestFit="1" customWidth="1"/>
    <col min="5" max="5" width="11" style="2" bestFit="1" customWidth="1"/>
    <col min="6" max="6" width="8.33203125" style="2" bestFit="1" customWidth="1"/>
    <col min="7" max="7" width="17.44140625" style="2" bestFit="1" customWidth="1"/>
    <col min="8" max="8" width="9.21875" bestFit="1" customWidth="1"/>
  </cols>
  <sheetData>
    <row r="2" spans="1:8" x14ac:dyDescent="0.3">
      <c r="A2" s="8" t="s">
        <v>1</v>
      </c>
      <c r="B2" s="8" t="s">
        <v>87</v>
      </c>
      <c r="C2" s="8" t="s">
        <v>45</v>
      </c>
      <c r="D2" s="8" t="s">
        <v>36</v>
      </c>
      <c r="E2" s="8" t="s">
        <v>102</v>
      </c>
      <c r="F2" s="8" t="s">
        <v>51</v>
      </c>
      <c r="G2" s="8" t="s">
        <v>15</v>
      </c>
      <c r="H2" s="8" t="s">
        <v>122</v>
      </c>
    </row>
    <row r="3" spans="1:8" x14ac:dyDescent="0.3">
      <c r="A3" s="9">
        <v>45797</v>
      </c>
      <c r="B3" s="9" t="str">
        <f>TEXT(A3,"dddd")</f>
        <v>Tuesday</v>
      </c>
      <c r="C3" s="2" t="s">
        <v>33</v>
      </c>
      <c r="D3" s="2">
        <v>1</v>
      </c>
      <c r="E3">
        <f>VLOOKUP(C3,'Non-medicinal details'!$A$1:$E$12,4,FALSE)</f>
        <v>520</v>
      </c>
      <c r="F3">
        <f>D3*E3</f>
        <v>520</v>
      </c>
      <c r="G3" t="str">
        <f>VLOOKUP(C3,'Non-medicinal details'!$A$1:$E$12,3,FALSE)</f>
        <v>Hair Care</v>
      </c>
      <c r="H3">
        <f>F3-(VLOOKUP(C3,'Non-medicinal details'!$A$1:$E$12,5,FALSE)*D3)</f>
        <v>20</v>
      </c>
    </row>
    <row r="4" spans="1:8" x14ac:dyDescent="0.3">
      <c r="A4" s="9">
        <v>45797</v>
      </c>
      <c r="B4" s="9" t="str">
        <f t="shared" ref="B4:B67" si="0">TEXT(A4,"dddd")</f>
        <v>Tuesday</v>
      </c>
      <c r="C4" s="2" t="s">
        <v>34</v>
      </c>
      <c r="D4" s="2">
        <v>0</v>
      </c>
      <c r="E4">
        <f>VLOOKUP(C4,'Non-medicinal details'!$A$1:$E$12,4,FALSE)</f>
        <v>248</v>
      </c>
      <c r="F4">
        <f t="shared" ref="F4:F67" si="1">D4*E4</f>
        <v>0</v>
      </c>
      <c r="G4" t="str">
        <f>VLOOKUP(C4,'Non-medicinal details'!$A$1:$E$12,3,FALSE)</f>
        <v>Hair Care</v>
      </c>
      <c r="H4">
        <f>F4-(VLOOKUP(C4,'Non-medicinal details'!$A$1:$E$12,5,FALSE)*D4)</f>
        <v>0</v>
      </c>
    </row>
    <row r="5" spans="1:8" x14ac:dyDescent="0.3">
      <c r="A5" s="9">
        <v>45797</v>
      </c>
      <c r="B5" s="9" t="str">
        <f t="shared" si="0"/>
        <v>Tuesday</v>
      </c>
      <c r="C5" s="2" t="s">
        <v>35</v>
      </c>
      <c r="D5" s="2">
        <v>0</v>
      </c>
      <c r="E5">
        <f>VLOOKUP(C5,'Non-medicinal details'!$A$1:$E$12,4,FALSE)</f>
        <v>200</v>
      </c>
      <c r="F5">
        <f t="shared" si="1"/>
        <v>0</v>
      </c>
      <c r="G5" t="str">
        <f>VLOOKUP(C5,'Non-medicinal details'!$A$1:$E$12,3,FALSE)</f>
        <v>Oral Care</v>
      </c>
      <c r="H5">
        <f>F5-(VLOOKUP(C5,'Non-medicinal details'!$A$1:$E$12,5,FALSE)*D5)</f>
        <v>0</v>
      </c>
    </row>
    <row r="6" spans="1:8" x14ac:dyDescent="0.3">
      <c r="A6" s="9">
        <v>45797</v>
      </c>
      <c r="B6" s="9" t="str">
        <f t="shared" si="0"/>
        <v>Tuesday</v>
      </c>
      <c r="C6" s="2" t="s">
        <v>37</v>
      </c>
      <c r="D6" s="2">
        <v>1</v>
      </c>
      <c r="E6">
        <f>VLOOKUP(C6,'Non-medicinal details'!$A$1:$E$12,4,FALSE)</f>
        <v>46</v>
      </c>
      <c r="F6">
        <f t="shared" si="1"/>
        <v>46</v>
      </c>
      <c r="G6" t="str">
        <f>VLOOKUP(C6,'Non-medicinal details'!$A$1:$E$12,3,FALSE)</f>
        <v>Oral Care</v>
      </c>
      <c r="H6">
        <f>F6-(VLOOKUP(C6,'Non-medicinal details'!$A$1:$E$12,5,FALSE)*D6)</f>
        <v>16</v>
      </c>
    </row>
    <row r="7" spans="1:8" x14ac:dyDescent="0.3">
      <c r="A7" s="9">
        <v>45797</v>
      </c>
      <c r="B7" s="9" t="str">
        <f t="shared" si="0"/>
        <v>Tuesday</v>
      </c>
      <c r="C7" s="2" t="s">
        <v>38</v>
      </c>
      <c r="D7" s="2">
        <v>0</v>
      </c>
      <c r="E7">
        <f>VLOOKUP(C7,'Non-medicinal details'!$A$1:$E$12,4,FALSE)</f>
        <v>95</v>
      </c>
      <c r="F7">
        <f t="shared" si="1"/>
        <v>0</v>
      </c>
      <c r="G7" t="str">
        <f>VLOOKUP(C7,'Non-medicinal details'!$A$1:$E$12,3,FALSE)</f>
        <v>Skin Care</v>
      </c>
      <c r="H7">
        <f>F7-(VLOOKUP(C7,'Non-medicinal details'!$A$1:$E$12,5,FALSE)*D7)</f>
        <v>0</v>
      </c>
    </row>
    <row r="8" spans="1:8" x14ac:dyDescent="0.3">
      <c r="A8" s="9">
        <v>45797</v>
      </c>
      <c r="B8" s="9" t="str">
        <f t="shared" si="0"/>
        <v>Tuesday</v>
      </c>
      <c r="C8" s="2" t="s">
        <v>39</v>
      </c>
      <c r="D8" s="2">
        <v>0</v>
      </c>
      <c r="E8">
        <f>VLOOKUP(C8,'Non-medicinal details'!$A$1:$E$12,4,FALSE)</f>
        <v>35</v>
      </c>
      <c r="F8">
        <f t="shared" si="1"/>
        <v>0</v>
      </c>
      <c r="G8" t="str">
        <f>VLOOKUP(C8,'Non-medicinal details'!$A$1:$E$12,3,FALSE)</f>
        <v>Skin Care</v>
      </c>
      <c r="H8">
        <f>F8-(VLOOKUP(C8,'Non-medicinal details'!$A$1:$E$12,5,FALSE)*D8)</f>
        <v>0</v>
      </c>
    </row>
    <row r="9" spans="1:8" x14ac:dyDescent="0.3">
      <c r="A9" s="9">
        <v>45797</v>
      </c>
      <c r="B9" s="9" t="str">
        <f t="shared" si="0"/>
        <v>Tuesday</v>
      </c>
      <c r="C9" s="2" t="s">
        <v>40</v>
      </c>
      <c r="D9" s="2">
        <v>1</v>
      </c>
      <c r="E9">
        <f>VLOOKUP(C9,'Non-medicinal details'!$A$1:$E$12,4,FALSE)</f>
        <v>60</v>
      </c>
      <c r="F9">
        <f t="shared" si="1"/>
        <v>60</v>
      </c>
      <c r="G9" t="str">
        <f>VLOOKUP(C9,'Non-medicinal details'!$A$1:$E$12,3,FALSE)</f>
        <v>Baby and Child Care</v>
      </c>
      <c r="H9">
        <f>F9-(VLOOKUP(C9,'Non-medicinal details'!$A$1:$E$12,5,FALSE)*D9)</f>
        <v>20</v>
      </c>
    </row>
    <row r="10" spans="1:8" x14ac:dyDescent="0.3">
      <c r="A10" s="9">
        <v>45797</v>
      </c>
      <c r="B10" s="9" t="str">
        <f t="shared" si="0"/>
        <v>Tuesday</v>
      </c>
      <c r="C10" s="2" t="s">
        <v>41</v>
      </c>
      <c r="D10" s="2">
        <v>1</v>
      </c>
      <c r="E10">
        <f>VLOOKUP(C10,'Non-medicinal details'!$A$1:$E$12,4,FALSE)</f>
        <v>120</v>
      </c>
      <c r="F10">
        <f t="shared" si="1"/>
        <v>120</v>
      </c>
      <c r="G10" t="str">
        <f>VLOOKUP(C10,'Non-medicinal details'!$A$1:$E$12,3,FALSE)</f>
        <v>Baby and Child Care</v>
      </c>
      <c r="H10">
        <f>F10-(VLOOKUP(C10,'Non-medicinal details'!$A$1:$E$12,5,FALSE)*D10)</f>
        <v>10</v>
      </c>
    </row>
    <row r="11" spans="1:8" x14ac:dyDescent="0.3">
      <c r="A11" s="9">
        <v>45797</v>
      </c>
      <c r="B11" s="9" t="str">
        <f t="shared" si="0"/>
        <v>Tuesday</v>
      </c>
      <c r="C11" s="2" t="s">
        <v>42</v>
      </c>
      <c r="D11" s="2">
        <v>0</v>
      </c>
      <c r="E11">
        <f>VLOOKUP(C11,'Non-medicinal details'!$A$1:$E$12,4,FALSE)</f>
        <v>50</v>
      </c>
      <c r="F11">
        <f t="shared" si="1"/>
        <v>0</v>
      </c>
      <c r="G11" t="str">
        <f>VLOOKUP(C11,'Non-medicinal details'!$A$1:$E$12,3,FALSE)</f>
        <v>Hygiene</v>
      </c>
      <c r="H11">
        <f>F11-(VLOOKUP(C11,'Non-medicinal details'!$A$1:$E$12,5,FALSE)*D11)</f>
        <v>0</v>
      </c>
    </row>
    <row r="12" spans="1:8" x14ac:dyDescent="0.3">
      <c r="A12" s="9">
        <v>45797</v>
      </c>
      <c r="B12" s="9" t="str">
        <f t="shared" si="0"/>
        <v>Tuesday</v>
      </c>
      <c r="C12" s="2" t="s">
        <v>43</v>
      </c>
      <c r="D12" s="2">
        <v>0</v>
      </c>
      <c r="E12">
        <f>VLOOKUP(C12,'Non-medicinal details'!$A$1:$E$12,4,FALSE)</f>
        <v>250</v>
      </c>
      <c r="F12">
        <f t="shared" si="1"/>
        <v>0</v>
      </c>
      <c r="G12" t="str">
        <f>VLOOKUP(C12,'Non-medicinal details'!$A$1:$E$12,3,FALSE)</f>
        <v>Nutritional powders</v>
      </c>
      <c r="H12">
        <f>F12-(VLOOKUP(C12,'Non-medicinal details'!$A$1:$E$12,5,FALSE)*D12)</f>
        <v>0</v>
      </c>
    </row>
    <row r="13" spans="1:8" x14ac:dyDescent="0.3">
      <c r="A13" s="9">
        <v>45797</v>
      </c>
      <c r="B13" s="9" t="str">
        <f t="shared" si="0"/>
        <v>Tuesday</v>
      </c>
      <c r="C13" s="2" t="s">
        <v>44</v>
      </c>
      <c r="D13" s="2">
        <v>1</v>
      </c>
      <c r="E13">
        <f>VLOOKUP(C13,'Non-medicinal details'!$A$1:$E$12,4,FALSE)</f>
        <v>249</v>
      </c>
      <c r="F13">
        <f t="shared" si="1"/>
        <v>249</v>
      </c>
      <c r="G13" t="str">
        <f>VLOOKUP(C13,'Non-medicinal details'!$A$1:$E$12,3,FALSE)</f>
        <v>Nutritional powders</v>
      </c>
      <c r="H13">
        <f>F13-(VLOOKUP(C13,'Non-medicinal details'!$A$1:$E$12,5,FALSE)*D13)</f>
        <v>49</v>
      </c>
    </row>
    <row r="14" spans="1:8" x14ac:dyDescent="0.3">
      <c r="A14" s="9">
        <v>45798</v>
      </c>
      <c r="B14" s="9" t="str">
        <f t="shared" si="0"/>
        <v>Wednesday</v>
      </c>
      <c r="C14" s="2" t="s">
        <v>33</v>
      </c>
      <c r="D14" s="2">
        <v>0</v>
      </c>
      <c r="E14">
        <f>VLOOKUP(C14,'Non-medicinal details'!$A$1:$E$12,4,FALSE)</f>
        <v>520</v>
      </c>
      <c r="F14">
        <f t="shared" si="1"/>
        <v>0</v>
      </c>
      <c r="G14" t="str">
        <f>VLOOKUP(C14,'Non-medicinal details'!$A$1:$E$12,3,FALSE)</f>
        <v>Hair Care</v>
      </c>
      <c r="H14">
        <f>F14-(VLOOKUP(C14,'Non-medicinal details'!$A$1:$E$12,5,FALSE)*D14)</f>
        <v>0</v>
      </c>
    </row>
    <row r="15" spans="1:8" x14ac:dyDescent="0.3">
      <c r="A15" s="9">
        <v>45798</v>
      </c>
      <c r="B15" s="9" t="str">
        <f t="shared" si="0"/>
        <v>Wednesday</v>
      </c>
      <c r="C15" s="2" t="s">
        <v>34</v>
      </c>
      <c r="D15" s="2">
        <v>0</v>
      </c>
      <c r="E15">
        <f>VLOOKUP(C15,'Non-medicinal details'!$A$1:$E$12,4,FALSE)</f>
        <v>248</v>
      </c>
      <c r="F15">
        <f t="shared" si="1"/>
        <v>0</v>
      </c>
      <c r="G15" t="str">
        <f>VLOOKUP(C15,'Non-medicinal details'!$A$1:$E$12,3,FALSE)</f>
        <v>Hair Care</v>
      </c>
      <c r="H15">
        <f>F15-(VLOOKUP(C15,'Non-medicinal details'!$A$1:$E$12,5,FALSE)*D15)</f>
        <v>0</v>
      </c>
    </row>
    <row r="16" spans="1:8" x14ac:dyDescent="0.3">
      <c r="A16" s="9">
        <v>45798</v>
      </c>
      <c r="B16" s="9" t="str">
        <f t="shared" si="0"/>
        <v>Wednesday</v>
      </c>
      <c r="C16" s="2" t="s">
        <v>35</v>
      </c>
      <c r="D16" s="2">
        <v>0</v>
      </c>
      <c r="E16">
        <f>VLOOKUP(C16,'Non-medicinal details'!$A$1:$E$12,4,FALSE)</f>
        <v>200</v>
      </c>
      <c r="F16">
        <f t="shared" si="1"/>
        <v>0</v>
      </c>
      <c r="G16" t="str">
        <f>VLOOKUP(C16,'Non-medicinal details'!$A$1:$E$12,3,FALSE)</f>
        <v>Oral Care</v>
      </c>
      <c r="H16">
        <f>F16-(VLOOKUP(C16,'Non-medicinal details'!$A$1:$E$12,5,FALSE)*D16)</f>
        <v>0</v>
      </c>
    </row>
    <row r="17" spans="1:8" x14ac:dyDescent="0.3">
      <c r="A17" s="9">
        <v>45798</v>
      </c>
      <c r="B17" s="9" t="str">
        <f t="shared" si="0"/>
        <v>Wednesday</v>
      </c>
      <c r="C17" s="2" t="s">
        <v>37</v>
      </c>
      <c r="D17" s="2">
        <v>0</v>
      </c>
      <c r="E17">
        <f>VLOOKUP(C17,'Non-medicinal details'!$A$1:$E$12,4,FALSE)</f>
        <v>46</v>
      </c>
      <c r="F17">
        <f t="shared" si="1"/>
        <v>0</v>
      </c>
      <c r="G17" t="str">
        <f>VLOOKUP(C17,'Non-medicinal details'!$A$1:$E$12,3,FALSE)</f>
        <v>Oral Care</v>
      </c>
      <c r="H17">
        <f>F17-(VLOOKUP(C17,'Non-medicinal details'!$A$1:$E$12,5,FALSE)*D17)</f>
        <v>0</v>
      </c>
    </row>
    <row r="18" spans="1:8" x14ac:dyDescent="0.3">
      <c r="A18" s="9">
        <v>45798</v>
      </c>
      <c r="B18" s="9" t="str">
        <f t="shared" si="0"/>
        <v>Wednesday</v>
      </c>
      <c r="C18" s="2" t="s">
        <v>38</v>
      </c>
      <c r="D18" s="2">
        <v>0</v>
      </c>
      <c r="E18">
        <f>VLOOKUP(C18,'Non-medicinal details'!$A$1:$E$12,4,FALSE)</f>
        <v>95</v>
      </c>
      <c r="F18">
        <f t="shared" si="1"/>
        <v>0</v>
      </c>
      <c r="G18" t="str">
        <f>VLOOKUP(C18,'Non-medicinal details'!$A$1:$E$12,3,FALSE)</f>
        <v>Skin Care</v>
      </c>
      <c r="H18">
        <f>F18-(VLOOKUP(C18,'Non-medicinal details'!$A$1:$E$12,5,FALSE)*D18)</f>
        <v>0</v>
      </c>
    </row>
    <row r="19" spans="1:8" x14ac:dyDescent="0.3">
      <c r="A19" s="9">
        <v>45798</v>
      </c>
      <c r="B19" s="9" t="str">
        <f t="shared" si="0"/>
        <v>Wednesday</v>
      </c>
      <c r="C19" s="2" t="s">
        <v>39</v>
      </c>
      <c r="D19" s="2">
        <v>0</v>
      </c>
      <c r="E19">
        <f>VLOOKUP(C19,'Non-medicinal details'!$A$1:$E$12,4,FALSE)</f>
        <v>35</v>
      </c>
      <c r="F19">
        <f t="shared" si="1"/>
        <v>0</v>
      </c>
      <c r="G19" t="str">
        <f>VLOOKUP(C19,'Non-medicinal details'!$A$1:$E$12,3,FALSE)</f>
        <v>Skin Care</v>
      </c>
      <c r="H19">
        <f>F19-(VLOOKUP(C19,'Non-medicinal details'!$A$1:$E$12,5,FALSE)*D19)</f>
        <v>0</v>
      </c>
    </row>
    <row r="20" spans="1:8" x14ac:dyDescent="0.3">
      <c r="A20" s="9">
        <v>45798</v>
      </c>
      <c r="B20" s="9" t="str">
        <f t="shared" si="0"/>
        <v>Wednesday</v>
      </c>
      <c r="C20" s="2" t="s">
        <v>40</v>
      </c>
      <c r="D20" s="2">
        <v>1</v>
      </c>
      <c r="E20">
        <f>VLOOKUP(C20,'Non-medicinal details'!$A$1:$E$12,4,FALSE)</f>
        <v>60</v>
      </c>
      <c r="F20">
        <f t="shared" si="1"/>
        <v>60</v>
      </c>
      <c r="G20" t="str">
        <f>VLOOKUP(C20,'Non-medicinal details'!$A$1:$E$12,3,FALSE)</f>
        <v>Baby and Child Care</v>
      </c>
      <c r="H20">
        <f>F20-(VLOOKUP(C20,'Non-medicinal details'!$A$1:$E$12,5,FALSE)*D20)</f>
        <v>20</v>
      </c>
    </row>
    <row r="21" spans="1:8" x14ac:dyDescent="0.3">
      <c r="A21" s="9">
        <v>45798</v>
      </c>
      <c r="B21" s="9" t="str">
        <f t="shared" si="0"/>
        <v>Wednesday</v>
      </c>
      <c r="C21" s="2" t="s">
        <v>41</v>
      </c>
      <c r="D21" s="2">
        <v>0</v>
      </c>
      <c r="E21">
        <f>VLOOKUP(C21,'Non-medicinal details'!$A$1:$E$12,4,FALSE)</f>
        <v>120</v>
      </c>
      <c r="F21">
        <f t="shared" si="1"/>
        <v>0</v>
      </c>
      <c r="G21" t="str">
        <f>VLOOKUP(C21,'Non-medicinal details'!$A$1:$E$12,3,FALSE)</f>
        <v>Baby and Child Care</v>
      </c>
      <c r="H21">
        <f>F21-(VLOOKUP(C21,'Non-medicinal details'!$A$1:$E$12,5,FALSE)*D21)</f>
        <v>0</v>
      </c>
    </row>
    <row r="22" spans="1:8" x14ac:dyDescent="0.3">
      <c r="A22" s="9">
        <v>45798</v>
      </c>
      <c r="B22" s="9" t="str">
        <f t="shared" si="0"/>
        <v>Wednesday</v>
      </c>
      <c r="C22" s="2" t="s">
        <v>42</v>
      </c>
      <c r="D22" s="2">
        <v>0</v>
      </c>
      <c r="E22">
        <f>VLOOKUP(C22,'Non-medicinal details'!$A$1:$E$12,4,FALSE)</f>
        <v>50</v>
      </c>
      <c r="F22">
        <f t="shared" si="1"/>
        <v>0</v>
      </c>
      <c r="G22" t="str">
        <f>VLOOKUP(C22,'Non-medicinal details'!$A$1:$E$12,3,FALSE)</f>
        <v>Hygiene</v>
      </c>
      <c r="H22">
        <f>F22-(VLOOKUP(C22,'Non-medicinal details'!$A$1:$E$12,5,FALSE)*D22)</f>
        <v>0</v>
      </c>
    </row>
    <row r="23" spans="1:8" x14ac:dyDescent="0.3">
      <c r="A23" s="9">
        <v>45798</v>
      </c>
      <c r="B23" s="9" t="str">
        <f t="shared" si="0"/>
        <v>Wednesday</v>
      </c>
      <c r="C23" s="2" t="s">
        <v>43</v>
      </c>
      <c r="D23" s="2">
        <v>0</v>
      </c>
      <c r="E23">
        <f>VLOOKUP(C23,'Non-medicinal details'!$A$1:$E$12,4,FALSE)</f>
        <v>250</v>
      </c>
      <c r="F23">
        <f t="shared" si="1"/>
        <v>0</v>
      </c>
      <c r="G23" t="str">
        <f>VLOOKUP(C23,'Non-medicinal details'!$A$1:$E$12,3,FALSE)</f>
        <v>Nutritional powders</v>
      </c>
      <c r="H23">
        <f>F23-(VLOOKUP(C23,'Non-medicinal details'!$A$1:$E$12,5,FALSE)*D23)</f>
        <v>0</v>
      </c>
    </row>
    <row r="24" spans="1:8" x14ac:dyDescent="0.3">
      <c r="A24" s="9">
        <v>45798</v>
      </c>
      <c r="B24" s="9" t="str">
        <f t="shared" si="0"/>
        <v>Wednesday</v>
      </c>
      <c r="C24" s="2" t="s">
        <v>44</v>
      </c>
      <c r="D24" s="2">
        <v>0</v>
      </c>
      <c r="E24">
        <f>VLOOKUP(C24,'Non-medicinal details'!$A$1:$E$12,4,FALSE)</f>
        <v>249</v>
      </c>
      <c r="F24">
        <f t="shared" si="1"/>
        <v>0</v>
      </c>
      <c r="G24" t="str">
        <f>VLOOKUP(C24,'Non-medicinal details'!$A$1:$E$12,3,FALSE)</f>
        <v>Nutritional powders</v>
      </c>
      <c r="H24">
        <f>F24-(VLOOKUP(C24,'Non-medicinal details'!$A$1:$E$12,5,FALSE)*D24)</f>
        <v>0</v>
      </c>
    </row>
    <row r="25" spans="1:8" x14ac:dyDescent="0.3">
      <c r="A25" s="9">
        <v>45799</v>
      </c>
      <c r="B25" s="9" t="str">
        <f t="shared" si="0"/>
        <v>Thursday</v>
      </c>
      <c r="C25" s="2" t="s">
        <v>33</v>
      </c>
      <c r="D25" s="2">
        <v>0</v>
      </c>
      <c r="E25">
        <f>VLOOKUP(C25,'Non-medicinal details'!$A$1:$E$12,4,FALSE)</f>
        <v>520</v>
      </c>
      <c r="F25">
        <f t="shared" si="1"/>
        <v>0</v>
      </c>
      <c r="G25" t="str">
        <f>VLOOKUP(C25,'Non-medicinal details'!$A$1:$E$12,3,FALSE)</f>
        <v>Hair Care</v>
      </c>
      <c r="H25">
        <f>F25-(VLOOKUP(C25,'Non-medicinal details'!$A$1:$E$12,5,FALSE)*D25)</f>
        <v>0</v>
      </c>
    </row>
    <row r="26" spans="1:8" x14ac:dyDescent="0.3">
      <c r="A26" s="9">
        <v>45799</v>
      </c>
      <c r="B26" s="9" t="str">
        <f t="shared" si="0"/>
        <v>Thursday</v>
      </c>
      <c r="C26" s="2" t="s">
        <v>34</v>
      </c>
      <c r="D26" s="2">
        <v>0</v>
      </c>
      <c r="E26">
        <f>VLOOKUP(C26,'Non-medicinal details'!$A$1:$E$12,4,FALSE)</f>
        <v>248</v>
      </c>
      <c r="F26">
        <f t="shared" si="1"/>
        <v>0</v>
      </c>
      <c r="G26" t="str">
        <f>VLOOKUP(C26,'Non-medicinal details'!$A$1:$E$12,3,FALSE)</f>
        <v>Hair Care</v>
      </c>
      <c r="H26">
        <f>F26-(VLOOKUP(C26,'Non-medicinal details'!$A$1:$E$12,5,FALSE)*D26)</f>
        <v>0</v>
      </c>
    </row>
    <row r="27" spans="1:8" x14ac:dyDescent="0.3">
      <c r="A27" s="9">
        <v>45799</v>
      </c>
      <c r="B27" s="9" t="str">
        <f t="shared" si="0"/>
        <v>Thursday</v>
      </c>
      <c r="C27" s="2" t="s">
        <v>35</v>
      </c>
      <c r="D27" s="2">
        <v>0</v>
      </c>
      <c r="E27">
        <f>VLOOKUP(C27,'Non-medicinal details'!$A$1:$E$12,4,FALSE)</f>
        <v>200</v>
      </c>
      <c r="F27">
        <f t="shared" si="1"/>
        <v>0</v>
      </c>
      <c r="G27" t="str">
        <f>VLOOKUP(C27,'Non-medicinal details'!$A$1:$E$12,3,FALSE)</f>
        <v>Oral Care</v>
      </c>
      <c r="H27">
        <f>F27-(VLOOKUP(C27,'Non-medicinal details'!$A$1:$E$12,5,FALSE)*D27)</f>
        <v>0</v>
      </c>
    </row>
    <row r="28" spans="1:8" x14ac:dyDescent="0.3">
      <c r="A28" s="9">
        <v>45799</v>
      </c>
      <c r="B28" s="9" t="str">
        <f t="shared" si="0"/>
        <v>Thursday</v>
      </c>
      <c r="C28" s="2" t="s">
        <v>37</v>
      </c>
      <c r="D28" s="2">
        <v>2</v>
      </c>
      <c r="E28">
        <f>VLOOKUP(C28,'Non-medicinal details'!$A$1:$E$12,4,FALSE)</f>
        <v>46</v>
      </c>
      <c r="F28">
        <f t="shared" si="1"/>
        <v>92</v>
      </c>
      <c r="G28" t="str">
        <f>VLOOKUP(C28,'Non-medicinal details'!$A$1:$E$12,3,FALSE)</f>
        <v>Oral Care</v>
      </c>
      <c r="H28">
        <f>F28-(VLOOKUP(C28,'Non-medicinal details'!$A$1:$E$12,5,FALSE)*D28)</f>
        <v>32</v>
      </c>
    </row>
    <row r="29" spans="1:8" x14ac:dyDescent="0.3">
      <c r="A29" s="9">
        <v>45799</v>
      </c>
      <c r="B29" s="9" t="str">
        <f t="shared" si="0"/>
        <v>Thursday</v>
      </c>
      <c r="C29" s="2" t="s">
        <v>38</v>
      </c>
      <c r="D29" s="2">
        <v>0</v>
      </c>
      <c r="E29">
        <f>VLOOKUP(C29,'Non-medicinal details'!$A$1:$E$12,4,FALSE)</f>
        <v>95</v>
      </c>
      <c r="F29">
        <f t="shared" si="1"/>
        <v>0</v>
      </c>
      <c r="G29" t="str">
        <f>VLOOKUP(C29,'Non-medicinal details'!$A$1:$E$12,3,FALSE)</f>
        <v>Skin Care</v>
      </c>
      <c r="H29">
        <f>F29-(VLOOKUP(C29,'Non-medicinal details'!$A$1:$E$12,5,FALSE)*D29)</f>
        <v>0</v>
      </c>
    </row>
    <row r="30" spans="1:8" x14ac:dyDescent="0.3">
      <c r="A30" s="9">
        <v>45799</v>
      </c>
      <c r="B30" s="9" t="str">
        <f t="shared" si="0"/>
        <v>Thursday</v>
      </c>
      <c r="C30" s="2" t="s">
        <v>39</v>
      </c>
      <c r="D30" s="2">
        <v>0</v>
      </c>
      <c r="E30">
        <f>VLOOKUP(C30,'Non-medicinal details'!$A$1:$E$12,4,FALSE)</f>
        <v>35</v>
      </c>
      <c r="F30">
        <f t="shared" si="1"/>
        <v>0</v>
      </c>
      <c r="G30" t="str">
        <f>VLOOKUP(C30,'Non-medicinal details'!$A$1:$E$12,3,FALSE)</f>
        <v>Skin Care</v>
      </c>
      <c r="H30">
        <f>F30-(VLOOKUP(C30,'Non-medicinal details'!$A$1:$E$12,5,FALSE)*D30)</f>
        <v>0</v>
      </c>
    </row>
    <row r="31" spans="1:8" x14ac:dyDescent="0.3">
      <c r="A31" s="9">
        <v>45799</v>
      </c>
      <c r="B31" s="9" t="str">
        <f t="shared" si="0"/>
        <v>Thursday</v>
      </c>
      <c r="C31" s="2" t="s">
        <v>40</v>
      </c>
      <c r="D31" s="2">
        <v>2</v>
      </c>
      <c r="E31">
        <f>VLOOKUP(C31,'Non-medicinal details'!$A$1:$E$12,4,FALSE)</f>
        <v>60</v>
      </c>
      <c r="F31">
        <f t="shared" si="1"/>
        <v>120</v>
      </c>
      <c r="G31" t="str">
        <f>VLOOKUP(C31,'Non-medicinal details'!$A$1:$E$12,3,FALSE)</f>
        <v>Baby and Child Care</v>
      </c>
      <c r="H31">
        <f>F31-(VLOOKUP(C31,'Non-medicinal details'!$A$1:$E$12,5,FALSE)*D31)</f>
        <v>40</v>
      </c>
    </row>
    <row r="32" spans="1:8" x14ac:dyDescent="0.3">
      <c r="A32" s="9">
        <v>45799</v>
      </c>
      <c r="B32" s="9" t="str">
        <f t="shared" si="0"/>
        <v>Thursday</v>
      </c>
      <c r="C32" s="2" t="s">
        <v>41</v>
      </c>
      <c r="D32" s="2">
        <v>0</v>
      </c>
      <c r="E32">
        <f>VLOOKUP(C32,'Non-medicinal details'!$A$1:$E$12,4,FALSE)</f>
        <v>120</v>
      </c>
      <c r="F32">
        <f t="shared" si="1"/>
        <v>0</v>
      </c>
      <c r="G32" t="str">
        <f>VLOOKUP(C32,'Non-medicinal details'!$A$1:$E$12,3,FALSE)</f>
        <v>Baby and Child Care</v>
      </c>
      <c r="H32">
        <f>F32-(VLOOKUP(C32,'Non-medicinal details'!$A$1:$E$12,5,FALSE)*D32)</f>
        <v>0</v>
      </c>
    </row>
    <row r="33" spans="1:8" x14ac:dyDescent="0.3">
      <c r="A33" s="9">
        <v>45799</v>
      </c>
      <c r="B33" s="9" t="str">
        <f t="shared" si="0"/>
        <v>Thursday</v>
      </c>
      <c r="C33" s="2" t="s">
        <v>42</v>
      </c>
      <c r="D33" s="2">
        <v>0</v>
      </c>
      <c r="E33">
        <f>VLOOKUP(C33,'Non-medicinal details'!$A$1:$E$12,4,FALSE)</f>
        <v>50</v>
      </c>
      <c r="F33">
        <f t="shared" si="1"/>
        <v>0</v>
      </c>
      <c r="G33" t="str">
        <f>VLOOKUP(C33,'Non-medicinal details'!$A$1:$E$12,3,FALSE)</f>
        <v>Hygiene</v>
      </c>
      <c r="H33">
        <f>F33-(VLOOKUP(C33,'Non-medicinal details'!$A$1:$E$12,5,FALSE)*D33)</f>
        <v>0</v>
      </c>
    </row>
    <row r="34" spans="1:8" x14ac:dyDescent="0.3">
      <c r="A34" s="9">
        <v>45799</v>
      </c>
      <c r="B34" s="9" t="str">
        <f t="shared" si="0"/>
        <v>Thursday</v>
      </c>
      <c r="C34" s="2" t="s">
        <v>43</v>
      </c>
      <c r="D34" s="2">
        <v>1</v>
      </c>
      <c r="E34">
        <f>VLOOKUP(C34,'Non-medicinal details'!$A$1:$E$12,4,FALSE)</f>
        <v>250</v>
      </c>
      <c r="F34">
        <f t="shared" si="1"/>
        <v>250</v>
      </c>
      <c r="G34" t="str">
        <f>VLOOKUP(C34,'Non-medicinal details'!$A$1:$E$12,3,FALSE)</f>
        <v>Nutritional powders</v>
      </c>
      <c r="H34">
        <f>F34-(VLOOKUP(C34,'Non-medicinal details'!$A$1:$E$12,5,FALSE)*D34)</f>
        <v>40</v>
      </c>
    </row>
    <row r="35" spans="1:8" x14ac:dyDescent="0.3">
      <c r="A35" s="9">
        <v>45799</v>
      </c>
      <c r="B35" s="9" t="str">
        <f t="shared" si="0"/>
        <v>Thursday</v>
      </c>
      <c r="C35" s="2" t="s">
        <v>44</v>
      </c>
      <c r="D35" s="2">
        <v>0</v>
      </c>
      <c r="E35">
        <f>VLOOKUP(C35,'Non-medicinal details'!$A$1:$E$12,4,FALSE)</f>
        <v>249</v>
      </c>
      <c r="F35">
        <f t="shared" si="1"/>
        <v>0</v>
      </c>
      <c r="G35" t="str">
        <f>VLOOKUP(C35,'Non-medicinal details'!$A$1:$E$12,3,FALSE)</f>
        <v>Nutritional powders</v>
      </c>
      <c r="H35">
        <f>F35-(VLOOKUP(C35,'Non-medicinal details'!$A$1:$E$12,5,FALSE)*D35)</f>
        <v>0</v>
      </c>
    </row>
    <row r="36" spans="1:8" x14ac:dyDescent="0.3">
      <c r="A36" s="9">
        <v>45800</v>
      </c>
      <c r="B36" s="9" t="str">
        <f t="shared" si="0"/>
        <v>Friday</v>
      </c>
      <c r="C36" s="2" t="s">
        <v>33</v>
      </c>
      <c r="D36" s="2">
        <v>0</v>
      </c>
      <c r="E36">
        <f>VLOOKUP(C36,'Non-medicinal details'!$A$1:$E$12,4,FALSE)</f>
        <v>520</v>
      </c>
      <c r="F36">
        <f t="shared" si="1"/>
        <v>0</v>
      </c>
      <c r="G36" t="str">
        <f>VLOOKUP(C36,'Non-medicinal details'!$A$1:$E$12,3,FALSE)</f>
        <v>Hair Care</v>
      </c>
      <c r="H36">
        <f>F36-(VLOOKUP(C36,'Non-medicinal details'!$A$1:$E$12,5,FALSE)*D36)</f>
        <v>0</v>
      </c>
    </row>
    <row r="37" spans="1:8" x14ac:dyDescent="0.3">
      <c r="A37" s="9">
        <v>45800</v>
      </c>
      <c r="B37" s="9" t="str">
        <f t="shared" si="0"/>
        <v>Friday</v>
      </c>
      <c r="C37" s="2" t="s">
        <v>34</v>
      </c>
      <c r="D37" s="2">
        <v>0</v>
      </c>
      <c r="E37">
        <f>VLOOKUP(C37,'Non-medicinal details'!$A$1:$E$12,4,FALSE)</f>
        <v>248</v>
      </c>
      <c r="F37">
        <f t="shared" si="1"/>
        <v>0</v>
      </c>
      <c r="G37" t="str">
        <f>VLOOKUP(C37,'Non-medicinal details'!$A$1:$E$12,3,FALSE)</f>
        <v>Hair Care</v>
      </c>
      <c r="H37">
        <f>F37-(VLOOKUP(C37,'Non-medicinal details'!$A$1:$E$12,5,FALSE)*D37)</f>
        <v>0</v>
      </c>
    </row>
    <row r="38" spans="1:8" x14ac:dyDescent="0.3">
      <c r="A38" s="9">
        <v>45800</v>
      </c>
      <c r="B38" s="9" t="str">
        <f t="shared" si="0"/>
        <v>Friday</v>
      </c>
      <c r="C38" s="2" t="s">
        <v>35</v>
      </c>
      <c r="D38" s="2">
        <v>0</v>
      </c>
      <c r="E38">
        <f>VLOOKUP(C38,'Non-medicinal details'!$A$1:$E$12,4,FALSE)</f>
        <v>200</v>
      </c>
      <c r="F38">
        <f t="shared" si="1"/>
        <v>0</v>
      </c>
      <c r="G38" t="str">
        <f>VLOOKUP(C38,'Non-medicinal details'!$A$1:$E$12,3,FALSE)</f>
        <v>Oral Care</v>
      </c>
      <c r="H38">
        <f>F38-(VLOOKUP(C38,'Non-medicinal details'!$A$1:$E$12,5,FALSE)*D38)</f>
        <v>0</v>
      </c>
    </row>
    <row r="39" spans="1:8" x14ac:dyDescent="0.3">
      <c r="A39" s="9">
        <v>45800</v>
      </c>
      <c r="B39" s="9" t="str">
        <f t="shared" si="0"/>
        <v>Friday</v>
      </c>
      <c r="C39" s="2" t="s">
        <v>37</v>
      </c>
      <c r="D39" s="2">
        <v>0</v>
      </c>
      <c r="E39">
        <f>VLOOKUP(C39,'Non-medicinal details'!$A$1:$E$12,4,FALSE)</f>
        <v>46</v>
      </c>
      <c r="F39">
        <f t="shared" si="1"/>
        <v>0</v>
      </c>
      <c r="G39" t="str">
        <f>VLOOKUP(C39,'Non-medicinal details'!$A$1:$E$12,3,FALSE)</f>
        <v>Oral Care</v>
      </c>
      <c r="H39">
        <f>F39-(VLOOKUP(C39,'Non-medicinal details'!$A$1:$E$12,5,FALSE)*D39)</f>
        <v>0</v>
      </c>
    </row>
    <row r="40" spans="1:8" x14ac:dyDescent="0.3">
      <c r="A40" s="9">
        <v>45800</v>
      </c>
      <c r="B40" s="9" t="str">
        <f t="shared" si="0"/>
        <v>Friday</v>
      </c>
      <c r="C40" s="2" t="s">
        <v>38</v>
      </c>
      <c r="D40" s="2">
        <v>0</v>
      </c>
      <c r="E40">
        <f>VLOOKUP(C40,'Non-medicinal details'!$A$1:$E$12,4,FALSE)</f>
        <v>95</v>
      </c>
      <c r="F40">
        <f t="shared" si="1"/>
        <v>0</v>
      </c>
      <c r="G40" t="str">
        <f>VLOOKUP(C40,'Non-medicinal details'!$A$1:$E$12,3,FALSE)</f>
        <v>Skin Care</v>
      </c>
      <c r="H40">
        <f>F40-(VLOOKUP(C40,'Non-medicinal details'!$A$1:$E$12,5,FALSE)*D40)</f>
        <v>0</v>
      </c>
    </row>
    <row r="41" spans="1:8" x14ac:dyDescent="0.3">
      <c r="A41" s="9">
        <v>45800</v>
      </c>
      <c r="B41" s="9" t="str">
        <f t="shared" si="0"/>
        <v>Friday</v>
      </c>
      <c r="C41" s="2" t="s">
        <v>39</v>
      </c>
      <c r="D41" s="2">
        <v>0</v>
      </c>
      <c r="E41">
        <f>VLOOKUP(C41,'Non-medicinal details'!$A$1:$E$12,4,FALSE)</f>
        <v>35</v>
      </c>
      <c r="F41">
        <f t="shared" si="1"/>
        <v>0</v>
      </c>
      <c r="G41" t="str">
        <f>VLOOKUP(C41,'Non-medicinal details'!$A$1:$E$12,3,FALSE)</f>
        <v>Skin Care</v>
      </c>
      <c r="H41">
        <f>F41-(VLOOKUP(C41,'Non-medicinal details'!$A$1:$E$12,5,FALSE)*D41)</f>
        <v>0</v>
      </c>
    </row>
    <row r="42" spans="1:8" x14ac:dyDescent="0.3">
      <c r="A42" s="9">
        <v>45800</v>
      </c>
      <c r="B42" s="9" t="str">
        <f t="shared" si="0"/>
        <v>Friday</v>
      </c>
      <c r="C42" s="2" t="s">
        <v>40</v>
      </c>
      <c r="D42" s="2">
        <v>0</v>
      </c>
      <c r="E42">
        <f>VLOOKUP(C42,'Non-medicinal details'!$A$1:$E$12,4,FALSE)</f>
        <v>60</v>
      </c>
      <c r="F42">
        <f t="shared" si="1"/>
        <v>0</v>
      </c>
      <c r="G42" t="str">
        <f>VLOOKUP(C42,'Non-medicinal details'!$A$1:$E$12,3,FALSE)</f>
        <v>Baby and Child Care</v>
      </c>
      <c r="H42">
        <f>F42-(VLOOKUP(C42,'Non-medicinal details'!$A$1:$E$12,5,FALSE)*D42)</f>
        <v>0</v>
      </c>
    </row>
    <row r="43" spans="1:8" x14ac:dyDescent="0.3">
      <c r="A43" s="9">
        <v>45800</v>
      </c>
      <c r="B43" s="9" t="str">
        <f t="shared" si="0"/>
        <v>Friday</v>
      </c>
      <c r="C43" s="2" t="s">
        <v>41</v>
      </c>
      <c r="D43" s="2">
        <v>0</v>
      </c>
      <c r="E43">
        <f>VLOOKUP(C43,'Non-medicinal details'!$A$1:$E$12,4,FALSE)</f>
        <v>120</v>
      </c>
      <c r="F43">
        <f t="shared" si="1"/>
        <v>0</v>
      </c>
      <c r="G43" t="str">
        <f>VLOOKUP(C43,'Non-medicinal details'!$A$1:$E$12,3,FALSE)</f>
        <v>Baby and Child Care</v>
      </c>
      <c r="H43">
        <f>F43-(VLOOKUP(C43,'Non-medicinal details'!$A$1:$E$12,5,FALSE)*D43)</f>
        <v>0</v>
      </c>
    </row>
    <row r="44" spans="1:8" x14ac:dyDescent="0.3">
      <c r="A44" s="9">
        <v>45800</v>
      </c>
      <c r="B44" s="9" t="str">
        <f t="shared" si="0"/>
        <v>Friday</v>
      </c>
      <c r="C44" s="2" t="s">
        <v>42</v>
      </c>
      <c r="D44" s="2">
        <v>1</v>
      </c>
      <c r="E44">
        <f>VLOOKUP(C44,'Non-medicinal details'!$A$1:$E$12,4,FALSE)</f>
        <v>50</v>
      </c>
      <c r="F44">
        <f t="shared" si="1"/>
        <v>50</v>
      </c>
      <c r="G44" t="str">
        <f>VLOOKUP(C44,'Non-medicinal details'!$A$1:$E$12,3,FALSE)</f>
        <v>Hygiene</v>
      </c>
      <c r="H44">
        <f>F44-(VLOOKUP(C44,'Non-medicinal details'!$A$1:$E$12,5,FALSE)*D44)</f>
        <v>12</v>
      </c>
    </row>
    <row r="45" spans="1:8" x14ac:dyDescent="0.3">
      <c r="A45" s="9">
        <v>45800</v>
      </c>
      <c r="B45" s="9" t="str">
        <f t="shared" si="0"/>
        <v>Friday</v>
      </c>
      <c r="C45" s="2" t="s">
        <v>43</v>
      </c>
      <c r="D45" s="2">
        <v>1</v>
      </c>
      <c r="E45">
        <f>VLOOKUP(C45,'Non-medicinal details'!$A$1:$E$12,4,FALSE)</f>
        <v>250</v>
      </c>
      <c r="F45">
        <f t="shared" si="1"/>
        <v>250</v>
      </c>
      <c r="G45" t="str">
        <f>VLOOKUP(C45,'Non-medicinal details'!$A$1:$E$12,3,FALSE)</f>
        <v>Nutritional powders</v>
      </c>
      <c r="H45">
        <f>F45-(VLOOKUP(C45,'Non-medicinal details'!$A$1:$E$12,5,FALSE)*D45)</f>
        <v>40</v>
      </c>
    </row>
    <row r="46" spans="1:8" x14ac:dyDescent="0.3">
      <c r="A46" s="9">
        <v>45800</v>
      </c>
      <c r="B46" s="9" t="str">
        <f t="shared" si="0"/>
        <v>Friday</v>
      </c>
      <c r="C46" s="2" t="s">
        <v>44</v>
      </c>
      <c r="D46" s="2">
        <v>0</v>
      </c>
      <c r="E46">
        <f>VLOOKUP(C46,'Non-medicinal details'!$A$1:$E$12,4,FALSE)</f>
        <v>249</v>
      </c>
      <c r="F46">
        <f t="shared" si="1"/>
        <v>0</v>
      </c>
      <c r="G46" t="str">
        <f>VLOOKUP(C46,'Non-medicinal details'!$A$1:$E$12,3,FALSE)</f>
        <v>Nutritional powders</v>
      </c>
      <c r="H46">
        <f>F46-(VLOOKUP(C46,'Non-medicinal details'!$A$1:$E$12,5,FALSE)*D46)</f>
        <v>0</v>
      </c>
    </row>
    <row r="47" spans="1:8" x14ac:dyDescent="0.3">
      <c r="A47" s="9">
        <v>45801</v>
      </c>
      <c r="B47" s="9" t="str">
        <f t="shared" si="0"/>
        <v>Saturday</v>
      </c>
      <c r="C47" s="2" t="s">
        <v>33</v>
      </c>
      <c r="D47" s="2">
        <v>0</v>
      </c>
      <c r="E47">
        <f>VLOOKUP(C47,'Non-medicinal details'!$A$1:$E$12,4,FALSE)</f>
        <v>520</v>
      </c>
      <c r="F47">
        <f t="shared" si="1"/>
        <v>0</v>
      </c>
      <c r="G47" t="str">
        <f>VLOOKUP(C47,'Non-medicinal details'!$A$1:$E$12,3,FALSE)</f>
        <v>Hair Care</v>
      </c>
      <c r="H47">
        <f>F47-(VLOOKUP(C47,'Non-medicinal details'!$A$1:$E$12,5,FALSE)*D47)</f>
        <v>0</v>
      </c>
    </row>
    <row r="48" spans="1:8" x14ac:dyDescent="0.3">
      <c r="A48" s="9">
        <v>45801</v>
      </c>
      <c r="B48" s="9" t="str">
        <f t="shared" si="0"/>
        <v>Saturday</v>
      </c>
      <c r="C48" s="2" t="s">
        <v>34</v>
      </c>
      <c r="D48" s="2">
        <v>0</v>
      </c>
      <c r="E48">
        <f>VLOOKUP(C48,'Non-medicinal details'!$A$1:$E$12,4,FALSE)</f>
        <v>248</v>
      </c>
      <c r="F48">
        <f t="shared" si="1"/>
        <v>0</v>
      </c>
      <c r="G48" t="str">
        <f>VLOOKUP(C48,'Non-medicinal details'!$A$1:$E$12,3,FALSE)</f>
        <v>Hair Care</v>
      </c>
      <c r="H48">
        <f>F48-(VLOOKUP(C48,'Non-medicinal details'!$A$1:$E$12,5,FALSE)*D48)</f>
        <v>0</v>
      </c>
    </row>
    <row r="49" spans="1:8" x14ac:dyDescent="0.3">
      <c r="A49" s="9">
        <v>45801</v>
      </c>
      <c r="B49" s="9" t="str">
        <f t="shared" si="0"/>
        <v>Saturday</v>
      </c>
      <c r="C49" s="2" t="s">
        <v>35</v>
      </c>
      <c r="D49" s="2">
        <v>0</v>
      </c>
      <c r="E49">
        <f>VLOOKUP(C49,'Non-medicinal details'!$A$1:$E$12,4,FALSE)</f>
        <v>200</v>
      </c>
      <c r="F49">
        <f t="shared" si="1"/>
        <v>0</v>
      </c>
      <c r="G49" t="str">
        <f>VLOOKUP(C49,'Non-medicinal details'!$A$1:$E$12,3,FALSE)</f>
        <v>Oral Care</v>
      </c>
      <c r="H49">
        <f>F49-(VLOOKUP(C49,'Non-medicinal details'!$A$1:$E$12,5,FALSE)*D49)</f>
        <v>0</v>
      </c>
    </row>
    <row r="50" spans="1:8" x14ac:dyDescent="0.3">
      <c r="A50" s="9">
        <v>45801</v>
      </c>
      <c r="B50" s="9" t="str">
        <f t="shared" si="0"/>
        <v>Saturday</v>
      </c>
      <c r="C50" s="2" t="s">
        <v>37</v>
      </c>
      <c r="D50" s="2">
        <v>0</v>
      </c>
      <c r="E50">
        <f>VLOOKUP(C50,'Non-medicinal details'!$A$1:$E$12,4,FALSE)</f>
        <v>46</v>
      </c>
      <c r="F50">
        <f t="shared" si="1"/>
        <v>0</v>
      </c>
      <c r="G50" t="str">
        <f>VLOOKUP(C50,'Non-medicinal details'!$A$1:$E$12,3,FALSE)</f>
        <v>Oral Care</v>
      </c>
      <c r="H50">
        <f>F50-(VLOOKUP(C50,'Non-medicinal details'!$A$1:$E$12,5,FALSE)*D50)</f>
        <v>0</v>
      </c>
    </row>
    <row r="51" spans="1:8" x14ac:dyDescent="0.3">
      <c r="A51" s="9">
        <v>45801</v>
      </c>
      <c r="B51" s="9" t="str">
        <f t="shared" si="0"/>
        <v>Saturday</v>
      </c>
      <c r="C51" s="2" t="s">
        <v>38</v>
      </c>
      <c r="D51" s="2">
        <v>0</v>
      </c>
      <c r="E51">
        <f>VLOOKUP(C51,'Non-medicinal details'!$A$1:$E$12,4,FALSE)</f>
        <v>95</v>
      </c>
      <c r="F51">
        <f t="shared" si="1"/>
        <v>0</v>
      </c>
      <c r="G51" t="str">
        <f>VLOOKUP(C51,'Non-medicinal details'!$A$1:$E$12,3,FALSE)</f>
        <v>Skin Care</v>
      </c>
      <c r="H51">
        <f>F51-(VLOOKUP(C51,'Non-medicinal details'!$A$1:$E$12,5,FALSE)*D51)</f>
        <v>0</v>
      </c>
    </row>
    <row r="52" spans="1:8" x14ac:dyDescent="0.3">
      <c r="A52" s="9">
        <v>45801</v>
      </c>
      <c r="B52" s="9" t="str">
        <f t="shared" si="0"/>
        <v>Saturday</v>
      </c>
      <c r="C52" s="2" t="s">
        <v>39</v>
      </c>
      <c r="D52" s="2">
        <v>1</v>
      </c>
      <c r="E52">
        <f>VLOOKUP(C52,'Non-medicinal details'!$A$1:$E$12,4,FALSE)</f>
        <v>35</v>
      </c>
      <c r="F52">
        <f t="shared" si="1"/>
        <v>35</v>
      </c>
      <c r="G52" t="str">
        <f>VLOOKUP(C52,'Non-medicinal details'!$A$1:$E$12,3,FALSE)</f>
        <v>Skin Care</v>
      </c>
      <c r="H52">
        <f>F52-(VLOOKUP(C52,'Non-medicinal details'!$A$1:$E$12,5,FALSE)*D52)</f>
        <v>7</v>
      </c>
    </row>
    <row r="53" spans="1:8" x14ac:dyDescent="0.3">
      <c r="A53" s="9">
        <v>45801</v>
      </c>
      <c r="B53" s="9" t="str">
        <f t="shared" si="0"/>
        <v>Saturday</v>
      </c>
      <c r="C53" s="2" t="s">
        <v>40</v>
      </c>
      <c r="D53" s="2">
        <v>0</v>
      </c>
      <c r="E53">
        <f>VLOOKUP(C53,'Non-medicinal details'!$A$1:$E$12,4,FALSE)</f>
        <v>60</v>
      </c>
      <c r="F53">
        <f t="shared" si="1"/>
        <v>0</v>
      </c>
      <c r="G53" t="str">
        <f>VLOOKUP(C53,'Non-medicinal details'!$A$1:$E$12,3,FALSE)</f>
        <v>Baby and Child Care</v>
      </c>
      <c r="H53">
        <f>F53-(VLOOKUP(C53,'Non-medicinal details'!$A$1:$E$12,5,FALSE)*D53)</f>
        <v>0</v>
      </c>
    </row>
    <row r="54" spans="1:8" x14ac:dyDescent="0.3">
      <c r="A54" s="9">
        <v>45801</v>
      </c>
      <c r="B54" s="9" t="str">
        <f t="shared" si="0"/>
        <v>Saturday</v>
      </c>
      <c r="C54" s="2" t="s">
        <v>41</v>
      </c>
      <c r="D54" s="2">
        <v>2</v>
      </c>
      <c r="E54">
        <f>VLOOKUP(C54,'Non-medicinal details'!$A$1:$E$12,4,FALSE)</f>
        <v>120</v>
      </c>
      <c r="F54">
        <f t="shared" si="1"/>
        <v>240</v>
      </c>
      <c r="G54" t="str">
        <f>VLOOKUP(C54,'Non-medicinal details'!$A$1:$E$12,3,FALSE)</f>
        <v>Baby and Child Care</v>
      </c>
      <c r="H54">
        <f>F54-(VLOOKUP(C54,'Non-medicinal details'!$A$1:$E$12,5,FALSE)*D54)</f>
        <v>20</v>
      </c>
    </row>
    <row r="55" spans="1:8" x14ac:dyDescent="0.3">
      <c r="A55" s="9">
        <v>45801</v>
      </c>
      <c r="B55" s="9" t="str">
        <f t="shared" si="0"/>
        <v>Saturday</v>
      </c>
      <c r="C55" s="2" t="s">
        <v>42</v>
      </c>
      <c r="D55" s="2">
        <v>0</v>
      </c>
      <c r="E55">
        <f>VLOOKUP(C55,'Non-medicinal details'!$A$1:$E$12,4,FALSE)</f>
        <v>50</v>
      </c>
      <c r="F55">
        <f t="shared" si="1"/>
        <v>0</v>
      </c>
      <c r="G55" t="str">
        <f>VLOOKUP(C55,'Non-medicinal details'!$A$1:$E$12,3,FALSE)</f>
        <v>Hygiene</v>
      </c>
      <c r="H55">
        <f>F55-(VLOOKUP(C55,'Non-medicinal details'!$A$1:$E$12,5,FALSE)*D55)</f>
        <v>0</v>
      </c>
    </row>
    <row r="56" spans="1:8" x14ac:dyDescent="0.3">
      <c r="A56" s="9">
        <v>45801</v>
      </c>
      <c r="B56" s="9" t="str">
        <f t="shared" si="0"/>
        <v>Saturday</v>
      </c>
      <c r="C56" s="2" t="s">
        <v>43</v>
      </c>
      <c r="D56" s="2">
        <v>0</v>
      </c>
      <c r="E56">
        <f>VLOOKUP(C56,'Non-medicinal details'!$A$1:$E$12,4,FALSE)</f>
        <v>250</v>
      </c>
      <c r="F56">
        <f t="shared" si="1"/>
        <v>0</v>
      </c>
      <c r="G56" t="str">
        <f>VLOOKUP(C56,'Non-medicinal details'!$A$1:$E$12,3,FALSE)</f>
        <v>Nutritional powders</v>
      </c>
      <c r="H56">
        <f>F56-(VLOOKUP(C56,'Non-medicinal details'!$A$1:$E$12,5,FALSE)*D56)</f>
        <v>0</v>
      </c>
    </row>
    <row r="57" spans="1:8" x14ac:dyDescent="0.3">
      <c r="A57" s="9">
        <v>45801</v>
      </c>
      <c r="B57" s="9" t="str">
        <f t="shared" si="0"/>
        <v>Saturday</v>
      </c>
      <c r="C57" s="2" t="s">
        <v>44</v>
      </c>
      <c r="D57" s="2">
        <v>0</v>
      </c>
      <c r="E57">
        <f>VLOOKUP(C57,'Non-medicinal details'!$A$1:$E$12,4,FALSE)</f>
        <v>249</v>
      </c>
      <c r="F57">
        <f t="shared" si="1"/>
        <v>0</v>
      </c>
      <c r="G57" t="str">
        <f>VLOOKUP(C57,'Non-medicinal details'!$A$1:$E$12,3,FALSE)</f>
        <v>Nutritional powders</v>
      </c>
      <c r="H57">
        <f>F57-(VLOOKUP(C57,'Non-medicinal details'!$A$1:$E$12,5,FALSE)*D57)</f>
        <v>0</v>
      </c>
    </row>
    <row r="58" spans="1:8" x14ac:dyDescent="0.3">
      <c r="A58" s="9">
        <v>45802</v>
      </c>
      <c r="B58" s="9" t="str">
        <f t="shared" si="0"/>
        <v>Sunday</v>
      </c>
      <c r="C58" s="2" t="s">
        <v>33</v>
      </c>
      <c r="D58" s="2">
        <v>0</v>
      </c>
      <c r="E58">
        <f>VLOOKUP(C58,'Non-medicinal details'!$A$1:$E$12,4,FALSE)</f>
        <v>520</v>
      </c>
      <c r="F58">
        <f t="shared" si="1"/>
        <v>0</v>
      </c>
      <c r="G58" t="str">
        <f>VLOOKUP(C58,'Non-medicinal details'!$A$1:$E$12,3,FALSE)</f>
        <v>Hair Care</v>
      </c>
      <c r="H58">
        <f>F58-(VLOOKUP(C58,'Non-medicinal details'!$A$1:$E$12,5,FALSE)*D58)</f>
        <v>0</v>
      </c>
    </row>
    <row r="59" spans="1:8" x14ac:dyDescent="0.3">
      <c r="A59" s="9">
        <v>45802</v>
      </c>
      <c r="B59" s="9" t="str">
        <f t="shared" si="0"/>
        <v>Sunday</v>
      </c>
      <c r="C59" s="2" t="s">
        <v>34</v>
      </c>
      <c r="D59" s="2">
        <v>0</v>
      </c>
      <c r="E59">
        <f>VLOOKUP(C59,'Non-medicinal details'!$A$1:$E$12,4,FALSE)</f>
        <v>248</v>
      </c>
      <c r="F59">
        <f t="shared" si="1"/>
        <v>0</v>
      </c>
      <c r="G59" t="str">
        <f>VLOOKUP(C59,'Non-medicinal details'!$A$1:$E$12,3,FALSE)</f>
        <v>Hair Care</v>
      </c>
      <c r="H59">
        <f>F59-(VLOOKUP(C59,'Non-medicinal details'!$A$1:$E$12,5,FALSE)*D59)</f>
        <v>0</v>
      </c>
    </row>
    <row r="60" spans="1:8" x14ac:dyDescent="0.3">
      <c r="A60" s="9">
        <v>45802</v>
      </c>
      <c r="B60" s="9" t="str">
        <f t="shared" si="0"/>
        <v>Sunday</v>
      </c>
      <c r="C60" s="2" t="s">
        <v>35</v>
      </c>
      <c r="D60" s="2">
        <v>1</v>
      </c>
      <c r="E60">
        <f>VLOOKUP(C60,'Non-medicinal details'!$A$1:$E$12,4,FALSE)</f>
        <v>200</v>
      </c>
      <c r="F60">
        <f t="shared" si="1"/>
        <v>200</v>
      </c>
      <c r="G60" t="str">
        <f>VLOOKUP(C60,'Non-medicinal details'!$A$1:$E$12,3,FALSE)</f>
        <v>Oral Care</v>
      </c>
      <c r="H60">
        <f>F60-(VLOOKUP(C60,'Non-medicinal details'!$A$1:$E$12,5,FALSE)*D60)</f>
        <v>20</v>
      </c>
    </row>
    <row r="61" spans="1:8" x14ac:dyDescent="0.3">
      <c r="A61" s="9">
        <v>45802</v>
      </c>
      <c r="B61" s="9" t="str">
        <f t="shared" si="0"/>
        <v>Sunday</v>
      </c>
      <c r="C61" s="2" t="s">
        <v>37</v>
      </c>
      <c r="D61" s="2">
        <v>2</v>
      </c>
      <c r="E61">
        <f>VLOOKUP(C61,'Non-medicinal details'!$A$1:$E$12,4,FALSE)</f>
        <v>46</v>
      </c>
      <c r="F61">
        <f t="shared" si="1"/>
        <v>92</v>
      </c>
      <c r="G61" t="str">
        <f>VLOOKUP(C61,'Non-medicinal details'!$A$1:$E$12,3,FALSE)</f>
        <v>Oral Care</v>
      </c>
      <c r="H61">
        <f>F61-(VLOOKUP(C61,'Non-medicinal details'!$A$1:$E$12,5,FALSE)*D61)</f>
        <v>32</v>
      </c>
    </row>
    <row r="62" spans="1:8" x14ac:dyDescent="0.3">
      <c r="A62" s="9">
        <v>45802</v>
      </c>
      <c r="B62" s="9" t="str">
        <f t="shared" si="0"/>
        <v>Sunday</v>
      </c>
      <c r="C62" s="2" t="s">
        <v>38</v>
      </c>
      <c r="D62" s="2">
        <v>1</v>
      </c>
      <c r="E62">
        <f>VLOOKUP(C62,'Non-medicinal details'!$A$1:$E$12,4,FALSE)</f>
        <v>95</v>
      </c>
      <c r="F62">
        <f t="shared" si="1"/>
        <v>95</v>
      </c>
      <c r="G62" t="str">
        <f>VLOOKUP(C62,'Non-medicinal details'!$A$1:$E$12,3,FALSE)</f>
        <v>Skin Care</v>
      </c>
      <c r="H62">
        <f>F62-(VLOOKUP(C62,'Non-medicinal details'!$A$1:$E$12,5,FALSE)*D62)</f>
        <v>10</v>
      </c>
    </row>
    <row r="63" spans="1:8" x14ac:dyDescent="0.3">
      <c r="A63" s="9">
        <v>45802</v>
      </c>
      <c r="B63" s="9" t="str">
        <f t="shared" si="0"/>
        <v>Sunday</v>
      </c>
      <c r="C63" s="2" t="s">
        <v>39</v>
      </c>
      <c r="D63" s="2">
        <v>1</v>
      </c>
      <c r="E63">
        <f>VLOOKUP(C63,'Non-medicinal details'!$A$1:$E$12,4,FALSE)</f>
        <v>35</v>
      </c>
      <c r="F63">
        <f t="shared" si="1"/>
        <v>35</v>
      </c>
      <c r="G63" t="str">
        <f>VLOOKUP(C63,'Non-medicinal details'!$A$1:$E$12,3,FALSE)</f>
        <v>Skin Care</v>
      </c>
      <c r="H63">
        <f>F63-(VLOOKUP(C63,'Non-medicinal details'!$A$1:$E$12,5,FALSE)*D63)</f>
        <v>7</v>
      </c>
    </row>
    <row r="64" spans="1:8" x14ac:dyDescent="0.3">
      <c r="A64" s="9">
        <v>45802</v>
      </c>
      <c r="B64" s="9" t="str">
        <f t="shared" si="0"/>
        <v>Sunday</v>
      </c>
      <c r="C64" s="2" t="s">
        <v>40</v>
      </c>
      <c r="D64" s="2">
        <v>0</v>
      </c>
      <c r="E64">
        <f>VLOOKUP(C64,'Non-medicinal details'!$A$1:$E$12,4,FALSE)</f>
        <v>60</v>
      </c>
      <c r="F64">
        <f t="shared" si="1"/>
        <v>0</v>
      </c>
      <c r="G64" t="str">
        <f>VLOOKUP(C64,'Non-medicinal details'!$A$1:$E$12,3,FALSE)</f>
        <v>Baby and Child Care</v>
      </c>
      <c r="H64">
        <f>F64-(VLOOKUP(C64,'Non-medicinal details'!$A$1:$E$12,5,FALSE)*D64)</f>
        <v>0</v>
      </c>
    </row>
    <row r="65" spans="1:8" x14ac:dyDescent="0.3">
      <c r="A65" s="9">
        <v>45802</v>
      </c>
      <c r="B65" s="9" t="str">
        <f t="shared" si="0"/>
        <v>Sunday</v>
      </c>
      <c r="C65" s="2" t="s">
        <v>41</v>
      </c>
      <c r="D65" s="2">
        <v>1</v>
      </c>
      <c r="E65">
        <f>VLOOKUP(C65,'Non-medicinal details'!$A$1:$E$12,4,FALSE)</f>
        <v>120</v>
      </c>
      <c r="F65">
        <f t="shared" si="1"/>
        <v>120</v>
      </c>
      <c r="G65" t="str">
        <f>VLOOKUP(C65,'Non-medicinal details'!$A$1:$E$12,3,FALSE)</f>
        <v>Baby and Child Care</v>
      </c>
      <c r="H65">
        <f>F65-(VLOOKUP(C65,'Non-medicinal details'!$A$1:$E$12,5,FALSE)*D65)</f>
        <v>10</v>
      </c>
    </row>
    <row r="66" spans="1:8" x14ac:dyDescent="0.3">
      <c r="A66" s="9">
        <v>45802</v>
      </c>
      <c r="B66" s="9" t="str">
        <f t="shared" si="0"/>
        <v>Sunday</v>
      </c>
      <c r="C66" s="2" t="s">
        <v>42</v>
      </c>
      <c r="D66" s="2">
        <v>1</v>
      </c>
      <c r="E66">
        <f>VLOOKUP(C66,'Non-medicinal details'!$A$1:$E$12,4,FALSE)</f>
        <v>50</v>
      </c>
      <c r="F66">
        <f t="shared" si="1"/>
        <v>50</v>
      </c>
      <c r="G66" t="str">
        <f>VLOOKUP(C66,'Non-medicinal details'!$A$1:$E$12,3,FALSE)</f>
        <v>Hygiene</v>
      </c>
      <c r="H66">
        <f>F66-(VLOOKUP(C66,'Non-medicinal details'!$A$1:$E$12,5,FALSE)*D66)</f>
        <v>12</v>
      </c>
    </row>
    <row r="67" spans="1:8" x14ac:dyDescent="0.3">
      <c r="A67" s="9">
        <v>45802</v>
      </c>
      <c r="B67" s="9" t="str">
        <f t="shared" si="0"/>
        <v>Sunday</v>
      </c>
      <c r="C67" s="2" t="s">
        <v>43</v>
      </c>
      <c r="D67" s="2">
        <v>0</v>
      </c>
      <c r="E67">
        <f>VLOOKUP(C67,'Non-medicinal details'!$A$1:$E$12,4,FALSE)</f>
        <v>250</v>
      </c>
      <c r="F67">
        <f t="shared" si="1"/>
        <v>0</v>
      </c>
      <c r="G67" t="str">
        <f>VLOOKUP(C67,'Non-medicinal details'!$A$1:$E$12,3,FALSE)</f>
        <v>Nutritional powders</v>
      </c>
      <c r="H67">
        <f>F67-(VLOOKUP(C67,'Non-medicinal details'!$A$1:$E$12,5,FALSE)*D67)</f>
        <v>0</v>
      </c>
    </row>
    <row r="68" spans="1:8" x14ac:dyDescent="0.3">
      <c r="A68" s="9">
        <v>45802</v>
      </c>
      <c r="B68" s="9" t="str">
        <f t="shared" ref="B68:B131" si="2">TEXT(A68,"dddd")</f>
        <v>Sunday</v>
      </c>
      <c r="C68" s="2" t="s">
        <v>44</v>
      </c>
      <c r="D68" s="2">
        <v>0</v>
      </c>
      <c r="E68">
        <f>VLOOKUP(C68,'Non-medicinal details'!$A$1:$E$12,4,FALSE)</f>
        <v>249</v>
      </c>
      <c r="F68">
        <f t="shared" ref="F68:F131" si="3">D68*E68</f>
        <v>0</v>
      </c>
      <c r="G68" t="str">
        <f>VLOOKUP(C68,'Non-medicinal details'!$A$1:$E$12,3,FALSE)</f>
        <v>Nutritional powders</v>
      </c>
      <c r="H68">
        <f>F68-(VLOOKUP(C68,'Non-medicinal details'!$A$1:$E$12,5,FALSE)*D68)</f>
        <v>0</v>
      </c>
    </row>
    <row r="69" spans="1:8" x14ac:dyDescent="0.3">
      <c r="A69" s="9">
        <v>45803</v>
      </c>
      <c r="B69" s="9" t="str">
        <f t="shared" si="2"/>
        <v>Monday</v>
      </c>
      <c r="C69" s="2" t="s">
        <v>33</v>
      </c>
      <c r="D69" s="2">
        <v>1</v>
      </c>
      <c r="E69">
        <f>VLOOKUP(C69,'Non-medicinal details'!$A$1:$E$12,4,FALSE)</f>
        <v>520</v>
      </c>
      <c r="F69">
        <f t="shared" si="3"/>
        <v>520</v>
      </c>
      <c r="G69" t="str">
        <f>VLOOKUP(C69,'Non-medicinal details'!$A$1:$E$12,3,FALSE)</f>
        <v>Hair Care</v>
      </c>
      <c r="H69">
        <f>F69-(VLOOKUP(C69,'Non-medicinal details'!$A$1:$E$12,5,FALSE)*D69)</f>
        <v>20</v>
      </c>
    </row>
    <row r="70" spans="1:8" x14ac:dyDescent="0.3">
      <c r="A70" s="9">
        <v>45803</v>
      </c>
      <c r="B70" s="9" t="str">
        <f t="shared" si="2"/>
        <v>Monday</v>
      </c>
      <c r="C70" s="2" t="s">
        <v>34</v>
      </c>
      <c r="D70" s="2">
        <v>0</v>
      </c>
      <c r="E70">
        <f>VLOOKUP(C70,'Non-medicinal details'!$A$1:$E$12,4,FALSE)</f>
        <v>248</v>
      </c>
      <c r="F70">
        <f t="shared" si="3"/>
        <v>0</v>
      </c>
      <c r="G70" t="str">
        <f>VLOOKUP(C70,'Non-medicinal details'!$A$1:$E$12,3,FALSE)</f>
        <v>Hair Care</v>
      </c>
      <c r="H70">
        <f>F70-(VLOOKUP(C70,'Non-medicinal details'!$A$1:$E$12,5,FALSE)*D70)</f>
        <v>0</v>
      </c>
    </row>
    <row r="71" spans="1:8" x14ac:dyDescent="0.3">
      <c r="A71" s="9">
        <v>45803</v>
      </c>
      <c r="B71" s="9" t="str">
        <f t="shared" si="2"/>
        <v>Monday</v>
      </c>
      <c r="C71" s="2" t="s">
        <v>35</v>
      </c>
      <c r="D71" s="2">
        <v>0</v>
      </c>
      <c r="E71">
        <f>VLOOKUP(C71,'Non-medicinal details'!$A$1:$E$12,4,FALSE)</f>
        <v>200</v>
      </c>
      <c r="F71">
        <f t="shared" si="3"/>
        <v>0</v>
      </c>
      <c r="G71" t="str">
        <f>VLOOKUP(C71,'Non-medicinal details'!$A$1:$E$12,3,FALSE)</f>
        <v>Oral Care</v>
      </c>
      <c r="H71">
        <f>F71-(VLOOKUP(C71,'Non-medicinal details'!$A$1:$E$12,5,FALSE)*D71)</f>
        <v>0</v>
      </c>
    </row>
    <row r="72" spans="1:8" x14ac:dyDescent="0.3">
      <c r="A72" s="9">
        <v>45803</v>
      </c>
      <c r="B72" s="9" t="str">
        <f t="shared" si="2"/>
        <v>Monday</v>
      </c>
      <c r="C72" s="2" t="s">
        <v>37</v>
      </c>
      <c r="D72" s="2">
        <v>2</v>
      </c>
      <c r="E72">
        <f>VLOOKUP(C72,'Non-medicinal details'!$A$1:$E$12,4,FALSE)</f>
        <v>46</v>
      </c>
      <c r="F72">
        <f t="shared" si="3"/>
        <v>92</v>
      </c>
      <c r="G72" t="str">
        <f>VLOOKUP(C72,'Non-medicinal details'!$A$1:$E$12,3,FALSE)</f>
        <v>Oral Care</v>
      </c>
      <c r="H72">
        <f>F72-(VLOOKUP(C72,'Non-medicinal details'!$A$1:$E$12,5,FALSE)*D72)</f>
        <v>32</v>
      </c>
    </row>
    <row r="73" spans="1:8" x14ac:dyDescent="0.3">
      <c r="A73" s="9">
        <v>45803</v>
      </c>
      <c r="B73" s="9" t="str">
        <f t="shared" si="2"/>
        <v>Monday</v>
      </c>
      <c r="C73" s="2" t="s">
        <v>38</v>
      </c>
      <c r="D73" s="2">
        <v>1</v>
      </c>
      <c r="E73">
        <f>VLOOKUP(C73,'Non-medicinal details'!$A$1:$E$12,4,FALSE)</f>
        <v>95</v>
      </c>
      <c r="F73">
        <f t="shared" si="3"/>
        <v>95</v>
      </c>
      <c r="G73" t="str">
        <f>VLOOKUP(C73,'Non-medicinal details'!$A$1:$E$12,3,FALSE)</f>
        <v>Skin Care</v>
      </c>
      <c r="H73">
        <f>F73-(VLOOKUP(C73,'Non-medicinal details'!$A$1:$E$12,5,FALSE)*D73)</f>
        <v>10</v>
      </c>
    </row>
    <row r="74" spans="1:8" x14ac:dyDescent="0.3">
      <c r="A74" s="9">
        <v>45803</v>
      </c>
      <c r="B74" s="9" t="str">
        <f t="shared" si="2"/>
        <v>Monday</v>
      </c>
      <c r="C74" s="2" t="s">
        <v>39</v>
      </c>
      <c r="D74" s="2">
        <v>0</v>
      </c>
      <c r="E74">
        <f>VLOOKUP(C74,'Non-medicinal details'!$A$1:$E$12,4,FALSE)</f>
        <v>35</v>
      </c>
      <c r="F74">
        <f t="shared" si="3"/>
        <v>0</v>
      </c>
      <c r="G74" t="str">
        <f>VLOOKUP(C74,'Non-medicinal details'!$A$1:$E$12,3,FALSE)</f>
        <v>Skin Care</v>
      </c>
      <c r="H74">
        <f>F74-(VLOOKUP(C74,'Non-medicinal details'!$A$1:$E$12,5,FALSE)*D74)</f>
        <v>0</v>
      </c>
    </row>
    <row r="75" spans="1:8" x14ac:dyDescent="0.3">
      <c r="A75" s="9">
        <v>45803</v>
      </c>
      <c r="B75" s="9" t="str">
        <f t="shared" si="2"/>
        <v>Monday</v>
      </c>
      <c r="C75" s="2" t="s">
        <v>40</v>
      </c>
      <c r="D75" s="2">
        <v>1</v>
      </c>
      <c r="E75">
        <f>VLOOKUP(C75,'Non-medicinal details'!$A$1:$E$12,4,FALSE)</f>
        <v>60</v>
      </c>
      <c r="F75">
        <f t="shared" si="3"/>
        <v>60</v>
      </c>
      <c r="G75" t="str">
        <f>VLOOKUP(C75,'Non-medicinal details'!$A$1:$E$12,3,FALSE)</f>
        <v>Baby and Child Care</v>
      </c>
      <c r="H75">
        <f>F75-(VLOOKUP(C75,'Non-medicinal details'!$A$1:$E$12,5,FALSE)*D75)</f>
        <v>20</v>
      </c>
    </row>
    <row r="76" spans="1:8" x14ac:dyDescent="0.3">
      <c r="A76" s="9">
        <v>45803</v>
      </c>
      <c r="B76" s="9" t="str">
        <f t="shared" si="2"/>
        <v>Monday</v>
      </c>
      <c r="C76" s="2" t="s">
        <v>41</v>
      </c>
      <c r="D76" s="2">
        <v>0</v>
      </c>
      <c r="E76">
        <f>VLOOKUP(C76,'Non-medicinal details'!$A$1:$E$12,4,FALSE)</f>
        <v>120</v>
      </c>
      <c r="F76">
        <f t="shared" si="3"/>
        <v>0</v>
      </c>
      <c r="G76" t="str">
        <f>VLOOKUP(C76,'Non-medicinal details'!$A$1:$E$12,3,FALSE)</f>
        <v>Baby and Child Care</v>
      </c>
      <c r="H76">
        <f>F76-(VLOOKUP(C76,'Non-medicinal details'!$A$1:$E$12,5,FALSE)*D76)</f>
        <v>0</v>
      </c>
    </row>
    <row r="77" spans="1:8" x14ac:dyDescent="0.3">
      <c r="A77" s="9">
        <v>45803</v>
      </c>
      <c r="B77" s="9" t="str">
        <f t="shared" si="2"/>
        <v>Monday</v>
      </c>
      <c r="C77" s="2" t="s">
        <v>42</v>
      </c>
      <c r="D77" s="2">
        <v>0</v>
      </c>
      <c r="E77">
        <f>VLOOKUP(C77,'Non-medicinal details'!$A$1:$E$12,4,FALSE)</f>
        <v>50</v>
      </c>
      <c r="F77">
        <f t="shared" si="3"/>
        <v>0</v>
      </c>
      <c r="G77" t="str">
        <f>VLOOKUP(C77,'Non-medicinal details'!$A$1:$E$12,3,FALSE)</f>
        <v>Hygiene</v>
      </c>
      <c r="H77">
        <f>F77-(VLOOKUP(C77,'Non-medicinal details'!$A$1:$E$12,5,FALSE)*D77)</f>
        <v>0</v>
      </c>
    </row>
    <row r="78" spans="1:8" x14ac:dyDescent="0.3">
      <c r="A78" s="9">
        <v>45803</v>
      </c>
      <c r="B78" s="9" t="str">
        <f t="shared" si="2"/>
        <v>Monday</v>
      </c>
      <c r="C78" s="2" t="s">
        <v>43</v>
      </c>
      <c r="D78" s="2">
        <v>1</v>
      </c>
      <c r="E78">
        <f>VLOOKUP(C78,'Non-medicinal details'!$A$1:$E$12,4,FALSE)</f>
        <v>250</v>
      </c>
      <c r="F78">
        <f t="shared" si="3"/>
        <v>250</v>
      </c>
      <c r="G78" t="str">
        <f>VLOOKUP(C78,'Non-medicinal details'!$A$1:$E$12,3,FALSE)</f>
        <v>Nutritional powders</v>
      </c>
      <c r="H78">
        <f>F78-(VLOOKUP(C78,'Non-medicinal details'!$A$1:$E$12,5,FALSE)*D78)</f>
        <v>40</v>
      </c>
    </row>
    <row r="79" spans="1:8" x14ac:dyDescent="0.3">
      <c r="A79" s="9">
        <v>45803</v>
      </c>
      <c r="B79" s="9" t="str">
        <f t="shared" si="2"/>
        <v>Monday</v>
      </c>
      <c r="C79" s="2" t="s">
        <v>44</v>
      </c>
      <c r="D79" s="2">
        <v>1</v>
      </c>
      <c r="E79">
        <f>VLOOKUP(C79,'Non-medicinal details'!$A$1:$E$12,4,FALSE)</f>
        <v>249</v>
      </c>
      <c r="F79">
        <f t="shared" si="3"/>
        <v>249</v>
      </c>
      <c r="G79" t="str">
        <f>VLOOKUP(C79,'Non-medicinal details'!$A$1:$E$12,3,FALSE)</f>
        <v>Nutritional powders</v>
      </c>
      <c r="H79">
        <f>F79-(VLOOKUP(C79,'Non-medicinal details'!$A$1:$E$12,5,FALSE)*D79)</f>
        <v>49</v>
      </c>
    </row>
    <row r="80" spans="1:8" x14ac:dyDescent="0.3">
      <c r="A80" s="9">
        <v>45804</v>
      </c>
      <c r="B80" s="9" t="str">
        <f t="shared" si="2"/>
        <v>Tuesday</v>
      </c>
      <c r="C80" s="2" t="s">
        <v>33</v>
      </c>
      <c r="D80" s="2">
        <v>0</v>
      </c>
      <c r="E80">
        <f>VLOOKUP(C80,'Non-medicinal details'!$A$1:$E$12,4,FALSE)</f>
        <v>520</v>
      </c>
      <c r="F80">
        <f t="shared" si="3"/>
        <v>0</v>
      </c>
      <c r="G80" t="str">
        <f>VLOOKUP(C80,'Non-medicinal details'!$A$1:$E$12,3,FALSE)</f>
        <v>Hair Care</v>
      </c>
      <c r="H80">
        <f>F80-(VLOOKUP(C80,'Non-medicinal details'!$A$1:$E$12,5,FALSE)*D80)</f>
        <v>0</v>
      </c>
    </row>
    <row r="81" spans="1:8" x14ac:dyDescent="0.3">
      <c r="A81" s="9">
        <v>45804</v>
      </c>
      <c r="B81" s="9" t="str">
        <f t="shared" si="2"/>
        <v>Tuesday</v>
      </c>
      <c r="C81" s="2" t="s">
        <v>34</v>
      </c>
      <c r="D81" s="2">
        <v>0</v>
      </c>
      <c r="E81">
        <f>VLOOKUP(C81,'Non-medicinal details'!$A$1:$E$12,4,FALSE)</f>
        <v>248</v>
      </c>
      <c r="F81">
        <f t="shared" si="3"/>
        <v>0</v>
      </c>
      <c r="G81" t="str">
        <f>VLOOKUP(C81,'Non-medicinal details'!$A$1:$E$12,3,FALSE)</f>
        <v>Hair Care</v>
      </c>
      <c r="H81">
        <f>F81-(VLOOKUP(C81,'Non-medicinal details'!$A$1:$E$12,5,FALSE)*D81)</f>
        <v>0</v>
      </c>
    </row>
    <row r="82" spans="1:8" x14ac:dyDescent="0.3">
      <c r="A82" s="9">
        <v>45804</v>
      </c>
      <c r="B82" s="9" t="str">
        <f t="shared" si="2"/>
        <v>Tuesday</v>
      </c>
      <c r="C82" s="2" t="s">
        <v>35</v>
      </c>
      <c r="D82" s="2">
        <v>0</v>
      </c>
      <c r="E82">
        <f>VLOOKUP(C82,'Non-medicinal details'!$A$1:$E$12,4,FALSE)</f>
        <v>200</v>
      </c>
      <c r="F82">
        <f t="shared" si="3"/>
        <v>0</v>
      </c>
      <c r="G82" t="str">
        <f>VLOOKUP(C82,'Non-medicinal details'!$A$1:$E$12,3,FALSE)</f>
        <v>Oral Care</v>
      </c>
      <c r="H82">
        <f>F82-(VLOOKUP(C82,'Non-medicinal details'!$A$1:$E$12,5,FALSE)*D82)</f>
        <v>0</v>
      </c>
    </row>
    <row r="83" spans="1:8" x14ac:dyDescent="0.3">
      <c r="A83" s="9">
        <v>45804</v>
      </c>
      <c r="B83" s="9" t="str">
        <f t="shared" si="2"/>
        <v>Tuesday</v>
      </c>
      <c r="C83" s="2" t="s">
        <v>37</v>
      </c>
      <c r="D83" s="2">
        <v>1</v>
      </c>
      <c r="E83">
        <f>VLOOKUP(C83,'Non-medicinal details'!$A$1:$E$12,4,FALSE)</f>
        <v>46</v>
      </c>
      <c r="F83">
        <f t="shared" si="3"/>
        <v>46</v>
      </c>
      <c r="G83" t="str">
        <f>VLOOKUP(C83,'Non-medicinal details'!$A$1:$E$12,3,FALSE)</f>
        <v>Oral Care</v>
      </c>
      <c r="H83">
        <f>F83-(VLOOKUP(C83,'Non-medicinal details'!$A$1:$E$12,5,FALSE)*D83)</f>
        <v>16</v>
      </c>
    </row>
    <row r="84" spans="1:8" x14ac:dyDescent="0.3">
      <c r="A84" s="9">
        <v>45804</v>
      </c>
      <c r="B84" s="9" t="str">
        <f t="shared" si="2"/>
        <v>Tuesday</v>
      </c>
      <c r="C84" s="2" t="s">
        <v>38</v>
      </c>
      <c r="D84" s="2">
        <v>0</v>
      </c>
      <c r="E84">
        <f>VLOOKUP(C84,'Non-medicinal details'!$A$1:$E$12,4,FALSE)</f>
        <v>95</v>
      </c>
      <c r="F84">
        <f t="shared" si="3"/>
        <v>0</v>
      </c>
      <c r="G84" t="str">
        <f>VLOOKUP(C84,'Non-medicinal details'!$A$1:$E$12,3,FALSE)</f>
        <v>Skin Care</v>
      </c>
      <c r="H84">
        <f>F84-(VLOOKUP(C84,'Non-medicinal details'!$A$1:$E$12,5,FALSE)*D84)</f>
        <v>0</v>
      </c>
    </row>
    <row r="85" spans="1:8" x14ac:dyDescent="0.3">
      <c r="A85" s="9">
        <v>45804</v>
      </c>
      <c r="B85" s="9" t="str">
        <f t="shared" si="2"/>
        <v>Tuesday</v>
      </c>
      <c r="C85" s="2" t="s">
        <v>39</v>
      </c>
      <c r="D85" s="2">
        <v>0</v>
      </c>
      <c r="E85">
        <f>VLOOKUP(C85,'Non-medicinal details'!$A$1:$E$12,4,FALSE)</f>
        <v>35</v>
      </c>
      <c r="F85">
        <f t="shared" si="3"/>
        <v>0</v>
      </c>
      <c r="G85" t="str">
        <f>VLOOKUP(C85,'Non-medicinal details'!$A$1:$E$12,3,FALSE)</f>
        <v>Skin Care</v>
      </c>
      <c r="H85">
        <f>F85-(VLOOKUP(C85,'Non-medicinal details'!$A$1:$E$12,5,FALSE)*D85)</f>
        <v>0</v>
      </c>
    </row>
    <row r="86" spans="1:8" x14ac:dyDescent="0.3">
      <c r="A86" s="9">
        <v>45804</v>
      </c>
      <c r="B86" s="9" t="str">
        <f t="shared" si="2"/>
        <v>Tuesday</v>
      </c>
      <c r="C86" s="2" t="s">
        <v>40</v>
      </c>
      <c r="D86" s="2">
        <v>0</v>
      </c>
      <c r="E86">
        <f>VLOOKUP(C86,'Non-medicinal details'!$A$1:$E$12,4,FALSE)</f>
        <v>60</v>
      </c>
      <c r="F86">
        <f t="shared" si="3"/>
        <v>0</v>
      </c>
      <c r="G86" t="str">
        <f>VLOOKUP(C86,'Non-medicinal details'!$A$1:$E$12,3,FALSE)</f>
        <v>Baby and Child Care</v>
      </c>
      <c r="H86">
        <f>F86-(VLOOKUP(C86,'Non-medicinal details'!$A$1:$E$12,5,FALSE)*D86)</f>
        <v>0</v>
      </c>
    </row>
    <row r="87" spans="1:8" x14ac:dyDescent="0.3">
      <c r="A87" s="9">
        <v>45804</v>
      </c>
      <c r="B87" s="9" t="str">
        <f t="shared" si="2"/>
        <v>Tuesday</v>
      </c>
      <c r="C87" s="2" t="s">
        <v>41</v>
      </c>
      <c r="D87" s="2">
        <v>2</v>
      </c>
      <c r="E87">
        <f>VLOOKUP(C87,'Non-medicinal details'!$A$1:$E$12,4,FALSE)</f>
        <v>120</v>
      </c>
      <c r="F87">
        <f t="shared" si="3"/>
        <v>240</v>
      </c>
      <c r="G87" t="str">
        <f>VLOOKUP(C87,'Non-medicinal details'!$A$1:$E$12,3,FALSE)</f>
        <v>Baby and Child Care</v>
      </c>
      <c r="H87">
        <f>F87-(VLOOKUP(C87,'Non-medicinal details'!$A$1:$E$12,5,FALSE)*D87)</f>
        <v>20</v>
      </c>
    </row>
    <row r="88" spans="1:8" x14ac:dyDescent="0.3">
      <c r="A88" s="9">
        <v>45804</v>
      </c>
      <c r="B88" s="9" t="str">
        <f t="shared" si="2"/>
        <v>Tuesday</v>
      </c>
      <c r="C88" s="2" t="s">
        <v>42</v>
      </c>
      <c r="D88" s="2">
        <v>2</v>
      </c>
      <c r="E88">
        <f>VLOOKUP(C88,'Non-medicinal details'!$A$1:$E$12,4,FALSE)</f>
        <v>50</v>
      </c>
      <c r="F88">
        <f t="shared" si="3"/>
        <v>100</v>
      </c>
      <c r="G88" t="str">
        <f>VLOOKUP(C88,'Non-medicinal details'!$A$1:$E$12,3,FALSE)</f>
        <v>Hygiene</v>
      </c>
      <c r="H88">
        <f>F88-(VLOOKUP(C88,'Non-medicinal details'!$A$1:$E$12,5,FALSE)*D88)</f>
        <v>24</v>
      </c>
    </row>
    <row r="89" spans="1:8" x14ac:dyDescent="0.3">
      <c r="A89" s="9">
        <v>45804</v>
      </c>
      <c r="B89" s="9" t="str">
        <f t="shared" si="2"/>
        <v>Tuesday</v>
      </c>
      <c r="C89" s="2" t="s">
        <v>43</v>
      </c>
      <c r="D89" s="2">
        <v>0</v>
      </c>
      <c r="E89">
        <f>VLOOKUP(C89,'Non-medicinal details'!$A$1:$E$12,4,FALSE)</f>
        <v>250</v>
      </c>
      <c r="F89">
        <f t="shared" si="3"/>
        <v>0</v>
      </c>
      <c r="G89" t="str">
        <f>VLOOKUP(C89,'Non-medicinal details'!$A$1:$E$12,3,FALSE)</f>
        <v>Nutritional powders</v>
      </c>
      <c r="H89">
        <f>F89-(VLOOKUP(C89,'Non-medicinal details'!$A$1:$E$12,5,FALSE)*D89)</f>
        <v>0</v>
      </c>
    </row>
    <row r="90" spans="1:8" x14ac:dyDescent="0.3">
      <c r="A90" s="9">
        <v>45804</v>
      </c>
      <c r="B90" s="9" t="str">
        <f t="shared" si="2"/>
        <v>Tuesday</v>
      </c>
      <c r="C90" s="2" t="s">
        <v>44</v>
      </c>
      <c r="D90" s="2">
        <v>1</v>
      </c>
      <c r="E90">
        <f>VLOOKUP(C90,'Non-medicinal details'!$A$1:$E$12,4,FALSE)</f>
        <v>249</v>
      </c>
      <c r="F90">
        <f t="shared" si="3"/>
        <v>249</v>
      </c>
      <c r="G90" t="str">
        <f>VLOOKUP(C90,'Non-medicinal details'!$A$1:$E$12,3,FALSE)</f>
        <v>Nutritional powders</v>
      </c>
      <c r="H90">
        <f>F90-(VLOOKUP(C90,'Non-medicinal details'!$A$1:$E$12,5,FALSE)*D90)</f>
        <v>49</v>
      </c>
    </row>
    <row r="91" spans="1:8" x14ac:dyDescent="0.3">
      <c r="A91" s="9">
        <v>45805</v>
      </c>
      <c r="B91" s="9" t="str">
        <f t="shared" si="2"/>
        <v>Wednesday</v>
      </c>
      <c r="C91" s="2" t="s">
        <v>33</v>
      </c>
      <c r="D91" s="2">
        <v>0</v>
      </c>
      <c r="E91">
        <f>VLOOKUP(C91,'Non-medicinal details'!$A$1:$E$12,4,FALSE)</f>
        <v>520</v>
      </c>
      <c r="F91">
        <f t="shared" si="3"/>
        <v>0</v>
      </c>
      <c r="G91" t="str">
        <f>VLOOKUP(C91,'Non-medicinal details'!$A$1:$E$12,3,FALSE)</f>
        <v>Hair Care</v>
      </c>
      <c r="H91">
        <f>F91-(VLOOKUP(C91,'Non-medicinal details'!$A$1:$E$12,5,FALSE)*D91)</f>
        <v>0</v>
      </c>
    </row>
    <row r="92" spans="1:8" x14ac:dyDescent="0.3">
      <c r="A92" s="9">
        <v>45805</v>
      </c>
      <c r="B92" s="9" t="str">
        <f t="shared" si="2"/>
        <v>Wednesday</v>
      </c>
      <c r="C92" s="2" t="s">
        <v>34</v>
      </c>
      <c r="D92" s="2">
        <v>0</v>
      </c>
      <c r="E92">
        <f>VLOOKUP(C92,'Non-medicinal details'!$A$1:$E$12,4,FALSE)</f>
        <v>248</v>
      </c>
      <c r="F92">
        <f t="shared" si="3"/>
        <v>0</v>
      </c>
      <c r="G92" t="str">
        <f>VLOOKUP(C92,'Non-medicinal details'!$A$1:$E$12,3,FALSE)</f>
        <v>Hair Care</v>
      </c>
      <c r="H92">
        <f>F92-(VLOOKUP(C92,'Non-medicinal details'!$A$1:$E$12,5,FALSE)*D92)</f>
        <v>0</v>
      </c>
    </row>
    <row r="93" spans="1:8" x14ac:dyDescent="0.3">
      <c r="A93" s="9">
        <v>45805</v>
      </c>
      <c r="B93" s="9" t="str">
        <f t="shared" si="2"/>
        <v>Wednesday</v>
      </c>
      <c r="C93" s="2" t="s">
        <v>35</v>
      </c>
      <c r="D93" s="2">
        <v>0</v>
      </c>
      <c r="E93">
        <f>VLOOKUP(C93,'Non-medicinal details'!$A$1:$E$12,4,FALSE)</f>
        <v>200</v>
      </c>
      <c r="F93">
        <f t="shared" si="3"/>
        <v>0</v>
      </c>
      <c r="G93" t="str">
        <f>VLOOKUP(C93,'Non-medicinal details'!$A$1:$E$12,3,FALSE)</f>
        <v>Oral Care</v>
      </c>
      <c r="H93">
        <f>F93-(VLOOKUP(C93,'Non-medicinal details'!$A$1:$E$12,5,FALSE)*D93)</f>
        <v>0</v>
      </c>
    </row>
    <row r="94" spans="1:8" x14ac:dyDescent="0.3">
      <c r="A94" s="9">
        <v>45805</v>
      </c>
      <c r="B94" s="9" t="str">
        <f t="shared" si="2"/>
        <v>Wednesday</v>
      </c>
      <c r="C94" s="2" t="s">
        <v>37</v>
      </c>
      <c r="D94" s="2">
        <v>5</v>
      </c>
      <c r="E94">
        <f>VLOOKUP(C94,'Non-medicinal details'!$A$1:$E$12,4,FALSE)</f>
        <v>46</v>
      </c>
      <c r="F94">
        <f t="shared" si="3"/>
        <v>230</v>
      </c>
      <c r="G94" t="str">
        <f>VLOOKUP(C94,'Non-medicinal details'!$A$1:$E$12,3,FALSE)</f>
        <v>Oral Care</v>
      </c>
      <c r="H94">
        <f>F94-(VLOOKUP(C94,'Non-medicinal details'!$A$1:$E$12,5,FALSE)*D94)</f>
        <v>80</v>
      </c>
    </row>
    <row r="95" spans="1:8" x14ac:dyDescent="0.3">
      <c r="A95" s="9">
        <v>45805</v>
      </c>
      <c r="B95" s="9" t="str">
        <f t="shared" si="2"/>
        <v>Wednesday</v>
      </c>
      <c r="C95" s="2" t="s">
        <v>38</v>
      </c>
      <c r="D95" s="2">
        <v>1</v>
      </c>
      <c r="E95">
        <f>VLOOKUP(C95,'Non-medicinal details'!$A$1:$E$12,4,FALSE)</f>
        <v>95</v>
      </c>
      <c r="F95">
        <f t="shared" si="3"/>
        <v>95</v>
      </c>
      <c r="G95" t="str">
        <f>VLOOKUP(C95,'Non-medicinal details'!$A$1:$E$12,3,FALSE)</f>
        <v>Skin Care</v>
      </c>
      <c r="H95">
        <f>F95-(VLOOKUP(C95,'Non-medicinal details'!$A$1:$E$12,5,FALSE)*D95)</f>
        <v>10</v>
      </c>
    </row>
    <row r="96" spans="1:8" x14ac:dyDescent="0.3">
      <c r="A96" s="9">
        <v>45805</v>
      </c>
      <c r="B96" s="9" t="str">
        <f t="shared" si="2"/>
        <v>Wednesday</v>
      </c>
      <c r="C96" s="2" t="s">
        <v>39</v>
      </c>
      <c r="D96" s="2">
        <v>1</v>
      </c>
      <c r="E96">
        <f>VLOOKUP(C96,'Non-medicinal details'!$A$1:$E$12,4,FALSE)</f>
        <v>35</v>
      </c>
      <c r="F96">
        <f t="shared" si="3"/>
        <v>35</v>
      </c>
      <c r="G96" t="str">
        <f>VLOOKUP(C96,'Non-medicinal details'!$A$1:$E$12,3,FALSE)</f>
        <v>Skin Care</v>
      </c>
      <c r="H96">
        <f>F96-(VLOOKUP(C96,'Non-medicinal details'!$A$1:$E$12,5,FALSE)*D96)</f>
        <v>7</v>
      </c>
    </row>
    <row r="97" spans="1:8" x14ac:dyDescent="0.3">
      <c r="A97" s="9">
        <v>45805</v>
      </c>
      <c r="B97" s="9" t="str">
        <f t="shared" si="2"/>
        <v>Wednesday</v>
      </c>
      <c r="C97" s="2" t="s">
        <v>40</v>
      </c>
      <c r="D97" s="2">
        <v>1</v>
      </c>
      <c r="E97">
        <f>VLOOKUP(C97,'Non-medicinal details'!$A$1:$E$12,4,FALSE)</f>
        <v>60</v>
      </c>
      <c r="F97">
        <f t="shared" si="3"/>
        <v>60</v>
      </c>
      <c r="G97" t="str">
        <f>VLOOKUP(C97,'Non-medicinal details'!$A$1:$E$12,3,FALSE)</f>
        <v>Baby and Child Care</v>
      </c>
      <c r="H97">
        <f>F97-(VLOOKUP(C97,'Non-medicinal details'!$A$1:$E$12,5,FALSE)*D97)</f>
        <v>20</v>
      </c>
    </row>
    <row r="98" spans="1:8" x14ac:dyDescent="0.3">
      <c r="A98" s="9">
        <v>45805</v>
      </c>
      <c r="B98" s="9" t="str">
        <f t="shared" si="2"/>
        <v>Wednesday</v>
      </c>
      <c r="C98" s="2" t="s">
        <v>41</v>
      </c>
      <c r="D98" s="2">
        <v>0</v>
      </c>
      <c r="E98">
        <f>VLOOKUP(C98,'Non-medicinal details'!$A$1:$E$12,4,FALSE)</f>
        <v>120</v>
      </c>
      <c r="F98">
        <f t="shared" si="3"/>
        <v>0</v>
      </c>
      <c r="G98" t="str">
        <f>VLOOKUP(C98,'Non-medicinal details'!$A$1:$E$12,3,FALSE)</f>
        <v>Baby and Child Care</v>
      </c>
      <c r="H98">
        <f>F98-(VLOOKUP(C98,'Non-medicinal details'!$A$1:$E$12,5,FALSE)*D98)</f>
        <v>0</v>
      </c>
    </row>
    <row r="99" spans="1:8" x14ac:dyDescent="0.3">
      <c r="A99" s="9">
        <v>45805</v>
      </c>
      <c r="B99" s="9" t="str">
        <f t="shared" si="2"/>
        <v>Wednesday</v>
      </c>
      <c r="C99" s="2" t="s">
        <v>42</v>
      </c>
      <c r="D99" s="2">
        <v>1</v>
      </c>
      <c r="E99">
        <f>VLOOKUP(C99,'Non-medicinal details'!$A$1:$E$12,4,FALSE)</f>
        <v>50</v>
      </c>
      <c r="F99">
        <f t="shared" si="3"/>
        <v>50</v>
      </c>
      <c r="G99" t="str">
        <f>VLOOKUP(C99,'Non-medicinal details'!$A$1:$E$12,3,FALSE)</f>
        <v>Hygiene</v>
      </c>
      <c r="H99">
        <f>F99-(VLOOKUP(C99,'Non-medicinal details'!$A$1:$E$12,5,FALSE)*D99)</f>
        <v>12</v>
      </c>
    </row>
    <row r="100" spans="1:8" x14ac:dyDescent="0.3">
      <c r="A100" s="9">
        <v>45805</v>
      </c>
      <c r="B100" s="9" t="str">
        <f t="shared" si="2"/>
        <v>Wednesday</v>
      </c>
      <c r="C100" s="2" t="s">
        <v>43</v>
      </c>
      <c r="D100" s="2">
        <v>0</v>
      </c>
      <c r="E100">
        <f>VLOOKUP(C100,'Non-medicinal details'!$A$1:$E$12,4,FALSE)</f>
        <v>250</v>
      </c>
      <c r="F100">
        <f t="shared" si="3"/>
        <v>0</v>
      </c>
      <c r="G100" t="str">
        <f>VLOOKUP(C100,'Non-medicinal details'!$A$1:$E$12,3,FALSE)</f>
        <v>Nutritional powders</v>
      </c>
      <c r="H100">
        <f>F100-(VLOOKUP(C100,'Non-medicinal details'!$A$1:$E$12,5,FALSE)*D100)</f>
        <v>0</v>
      </c>
    </row>
    <row r="101" spans="1:8" x14ac:dyDescent="0.3">
      <c r="A101" s="9">
        <v>45805</v>
      </c>
      <c r="B101" s="9" t="str">
        <f t="shared" si="2"/>
        <v>Wednesday</v>
      </c>
      <c r="C101" s="2" t="s">
        <v>44</v>
      </c>
      <c r="D101" s="2">
        <v>0</v>
      </c>
      <c r="E101">
        <f>VLOOKUP(C101,'Non-medicinal details'!$A$1:$E$12,4,FALSE)</f>
        <v>249</v>
      </c>
      <c r="F101">
        <f t="shared" si="3"/>
        <v>0</v>
      </c>
      <c r="G101" t="str">
        <f>VLOOKUP(C101,'Non-medicinal details'!$A$1:$E$12,3,FALSE)</f>
        <v>Nutritional powders</v>
      </c>
      <c r="H101">
        <f>F101-(VLOOKUP(C101,'Non-medicinal details'!$A$1:$E$12,5,FALSE)*D101)</f>
        <v>0</v>
      </c>
    </row>
    <row r="102" spans="1:8" x14ac:dyDescent="0.3">
      <c r="A102" s="9">
        <v>45806</v>
      </c>
      <c r="B102" s="9" t="str">
        <f t="shared" si="2"/>
        <v>Thursday</v>
      </c>
      <c r="C102" s="2" t="s">
        <v>33</v>
      </c>
      <c r="D102" s="2">
        <v>1</v>
      </c>
      <c r="E102">
        <f>VLOOKUP(C102,'Non-medicinal details'!$A$1:$E$12,4,FALSE)</f>
        <v>520</v>
      </c>
      <c r="F102">
        <f t="shared" si="3"/>
        <v>520</v>
      </c>
      <c r="G102" t="str">
        <f>VLOOKUP(C102,'Non-medicinal details'!$A$1:$E$12,3,FALSE)</f>
        <v>Hair Care</v>
      </c>
      <c r="H102">
        <f>F102-(VLOOKUP(C102,'Non-medicinal details'!$A$1:$E$12,5,FALSE)*D102)</f>
        <v>20</v>
      </c>
    </row>
    <row r="103" spans="1:8" x14ac:dyDescent="0.3">
      <c r="A103" s="9">
        <v>45806</v>
      </c>
      <c r="B103" s="9" t="str">
        <f t="shared" si="2"/>
        <v>Thursday</v>
      </c>
      <c r="C103" s="2" t="s">
        <v>34</v>
      </c>
      <c r="D103" s="2">
        <v>1</v>
      </c>
      <c r="E103">
        <f>VLOOKUP(C103,'Non-medicinal details'!$A$1:$E$12,4,FALSE)</f>
        <v>248</v>
      </c>
      <c r="F103">
        <f t="shared" si="3"/>
        <v>248</v>
      </c>
      <c r="G103" t="str">
        <f>VLOOKUP(C103,'Non-medicinal details'!$A$1:$E$12,3,FALSE)</f>
        <v>Hair Care</v>
      </c>
      <c r="H103">
        <f>F103-(VLOOKUP(C103,'Non-medicinal details'!$A$1:$E$12,5,FALSE)*D103)</f>
        <v>88</v>
      </c>
    </row>
    <row r="104" spans="1:8" x14ac:dyDescent="0.3">
      <c r="A104" s="9">
        <v>45806</v>
      </c>
      <c r="B104" s="9" t="str">
        <f t="shared" si="2"/>
        <v>Thursday</v>
      </c>
      <c r="C104" s="2" t="s">
        <v>35</v>
      </c>
      <c r="D104" s="2">
        <v>0</v>
      </c>
      <c r="E104">
        <f>VLOOKUP(C104,'Non-medicinal details'!$A$1:$E$12,4,FALSE)</f>
        <v>200</v>
      </c>
      <c r="F104">
        <f t="shared" si="3"/>
        <v>0</v>
      </c>
      <c r="G104" t="str">
        <f>VLOOKUP(C104,'Non-medicinal details'!$A$1:$E$12,3,FALSE)</f>
        <v>Oral Care</v>
      </c>
      <c r="H104">
        <f>F104-(VLOOKUP(C104,'Non-medicinal details'!$A$1:$E$12,5,FALSE)*D104)</f>
        <v>0</v>
      </c>
    </row>
    <row r="105" spans="1:8" x14ac:dyDescent="0.3">
      <c r="A105" s="9">
        <v>45806</v>
      </c>
      <c r="B105" s="9" t="str">
        <f t="shared" si="2"/>
        <v>Thursday</v>
      </c>
      <c r="C105" s="2" t="s">
        <v>37</v>
      </c>
      <c r="D105" s="2">
        <v>3</v>
      </c>
      <c r="E105">
        <f>VLOOKUP(C105,'Non-medicinal details'!$A$1:$E$12,4,FALSE)</f>
        <v>46</v>
      </c>
      <c r="F105">
        <f t="shared" si="3"/>
        <v>138</v>
      </c>
      <c r="G105" t="str">
        <f>VLOOKUP(C105,'Non-medicinal details'!$A$1:$E$12,3,FALSE)</f>
        <v>Oral Care</v>
      </c>
      <c r="H105">
        <f>F105-(VLOOKUP(C105,'Non-medicinal details'!$A$1:$E$12,5,FALSE)*D105)</f>
        <v>48</v>
      </c>
    </row>
    <row r="106" spans="1:8" x14ac:dyDescent="0.3">
      <c r="A106" s="9">
        <v>45806</v>
      </c>
      <c r="B106" s="9" t="str">
        <f t="shared" si="2"/>
        <v>Thursday</v>
      </c>
      <c r="C106" s="2" t="s">
        <v>38</v>
      </c>
      <c r="D106" s="2">
        <v>0</v>
      </c>
      <c r="E106">
        <f>VLOOKUP(C106,'Non-medicinal details'!$A$1:$E$12,4,FALSE)</f>
        <v>95</v>
      </c>
      <c r="F106">
        <f t="shared" si="3"/>
        <v>0</v>
      </c>
      <c r="G106" t="str">
        <f>VLOOKUP(C106,'Non-medicinal details'!$A$1:$E$12,3,FALSE)</f>
        <v>Skin Care</v>
      </c>
      <c r="H106">
        <f>F106-(VLOOKUP(C106,'Non-medicinal details'!$A$1:$E$12,5,FALSE)*D106)</f>
        <v>0</v>
      </c>
    </row>
    <row r="107" spans="1:8" x14ac:dyDescent="0.3">
      <c r="A107" s="9">
        <v>45806</v>
      </c>
      <c r="B107" s="9" t="str">
        <f t="shared" si="2"/>
        <v>Thursday</v>
      </c>
      <c r="C107" s="2" t="s">
        <v>39</v>
      </c>
      <c r="D107" s="2">
        <v>0</v>
      </c>
      <c r="E107">
        <f>VLOOKUP(C107,'Non-medicinal details'!$A$1:$E$12,4,FALSE)</f>
        <v>35</v>
      </c>
      <c r="F107">
        <f t="shared" si="3"/>
        <v>0</v>
      </c>
      <c r="G107" t="str">
        <f>VLOOKUP(C107,'Non-medicinal details'!$A$1:$E$12,3,FALSE)</f>
        <v>Skin Care</v>
      </c>
      <c r="H107">
        <f>F107-(VLOOKUP(C107,'Non-medicinal details'!$A$1:$E$12,5,FALSE)*D107)</f>
        <v>0</v>
      </c>
    </row>
    <row r="108" spans="1:8" x14ac:dyDescent="0.3">
      <c r="A108" s="9">
        <v>45806</v>
      </c>
      <c r="B108" s="9" t="str">
        <f t="shared" si="2"/>
        <v>Thursday</v>
      </c>
      <c r="C108" s="2" t="s">
        <v>40</v>
      </c>
      <c r="D108" s="2">
        <v>1</v>
      </c>
      <c r="E108">
        <f>VLOOKUP(C108,'Non-medicinal details'!$A$1:$E$12,4,FALSE)</f>
        <v>60</v>
      </c>
      <c r="F108">
        <f t="shared" si="3"/>
        <v>60</v>
      </c>
      <c r="G108" t="str">
        <f>VLOOKUP(C108,'Non-medicinal details'!$A$1:$E$12,3,FALSE)</f>
        <v>Baby and Child Care</v>
      </c>
      <c r="H108">
        <f>F108-(VLOOKUP(C108,'Non-medicinal details'!$A$1:$E$12,5,FALSE)*D108)</f>
        <v>20</v>
      </c>
    </row>
    <row r="109" spans="1:8" x14ac:dyDescent="0.3">
      <c r="A109" s="9">
        <v>45806</v>
      </c>
      <c r="B109" s="9" t="str">
        <f t="shared" si="2"/>
        <v>Thursday</v>
      </c>
      <c r="C109" s="2" t="s">
        <v>41</v>
      </c>
      <c r="D109" s="2">
        <v>0</v>
      </c>
      <c r="E109">
        <f>VLOOKUP(C109,'Non-medicinal details'!$A$1:$E$12,4,FALSE)</f>
        <v>120</v>
      </c>
      <c r="F109">
        <f t="shared" si="3"/>
        <v>0</v>
      </c>
      <c r="G109" t="str">
        <f>VLOOKUP(C109,'Non-medicinal details'!$A$1:$E$12,3,FALSE)</f>
        <v>Baby and Child Care</v>
      </c>
      <c r="H109">
        <f>F109-(VLOOKUP(C109,'Non-medicinal details'!$A$1:$E$12,5,FALSE)*D109)</f>
        <v>0</v>
      </c>
    </row>
    <row r="110" spans="1:8" x14ac:dyDescent="0.3">
      <c r="A110" s="9">
        <v>45806</v>
      </c>
      <c r="B110" s="9" t="str">
        <f t="shared" si="2"/>
        <v>Thursday</v>
      </c>
      <c r="C110" s="2" t="s">
        <v>42</v>
      </c>
      <c r="D110" s="2">
        <v>1</v>
      </c>
      <c r="E110">
        <f>VLOOKUP(C110,'Non-medicinal details'!$A$1:$E$12,4,FALSE)</f>
        <v>50</v>
      </c>
      <c r="F110">
        <f t="shared" si="3"/>
        <v>50</v>
      </c>
      <c r="G110" t="str">
        <f>VLOOKUP(C110,'Non-medicinal details'!$A$1:$E$12,3,FALSE)</f>
        <v>Hygiene</v>
      </c>
      <c r="H110">
        <f>F110-(VLOOKUP(C110,'Non-medicinal details'!$A$1:$E$12,5,FALSE)*D110)</f>
        <v>12</v>
      </c>
    </row>
    <row r="111" spans="1:8" x14ac:dyDescent="0.3">
      <c r="A111" s="9">
        <v>45806</v>
      </c>
      <c r="B111" s="9" t="str">
        <f t="shared" si="2"/>
        <v>Thursday</v>
      </c>
      <c r="C111" s="2" t="s">
        <v>43</v>
      </c>
      <c r="D111" s="2">
        <v>0</v>
      </c>
      <c r="E111">
        <f>VLOOKUP(C111,'Non-medicinal details'!$A$1:$E$12,4,FALSE)</f>
        <v>250</v>
      </c>
      <c r="F111">
        <f t="shared" si="3"/>
        <v>0</v>
      </c>
      <c r="G111" t="str">
        <f>VLOOKUP(C111,'Non-medicinal details'!$A$1:$E$12,3,FALSE)</f>
        <v>Nutritional powders</v>
      </c>
      <c r="H111">
        <f>F111-(VLOOKUP(C111,'Non-medicinal details'!$A$1:$E$12,5,FALSE)*D111)</f>
        <v>0</v>
      </c>
    </row>
    <row r="112" spans="1:8" x14ac:dyDescent="0.3">
      <c r="A112" s="9">
        <v>45806</v>
      </c>
      <c r="B112" s="9" t="str">
        <f t="shared" si="2"/>
        <v>Thursday</v>
      </c>
      <c r="C112" s="2" t="s">
        <v>44</v>
      </c>
      <c r="D112" s="2">
        <v>0</v>
      </c>
      <c r="E112">
        <f>VLOOKUP(C112,'Non-medicinal details'!$A$1:$E$12,4,FALSE)</f>
        <v>249</v>
      </c>
      <c r="F112">
        <f t="shared" si="3"/>
        <v>0</v>
      </c>
      <c r="G112" t="str">
        <f>VLOOKUP(C112,'Non-medicinal details'!$A$1:$E$12,3,FALSE)</f>
        <v>Nutritional powders</v>
      </c>
      <c r="H112">
        <f>F112-(VLOOKUP(C112,'Non-medicinal details'!$A$1:$E$12,5,FALSE)*D112)</f>
        <v>0</v>
      </c>
    </row>
    <row r="113" spans="1:8" x14ac:dyDescent="0.3">
      <c r="A113" s="9">
        <v>45807</v>
      </c>
      <c r="B113" s="9" t="str">
        <f t="shared" si="2"/>
        <v>Friday</v>
      </c>
      <c r="C113" s="2" t="s">
        <v>33</v>
      </c>
      <c r="D113" s="2">
        <v>0</v>
      </c>
      <c r="E113">
        <f>VLOOKUP(C113,'Non-medicinal details'!$A$1:$E$12,4,FALSE)</f>
        <v>520</v>
      </c>
      <c r="F113">
        <f t="shared" si="3"/>
        <v>0</v>
      </c>
      <c r="G113" t="str">
        <f>VLOOKUP(C113,'Non-medicinal details'!$A$1:$E$12,3,FALSE)</f>
        <v>Hair Care</v>
      </c>
      <c r="H113">
        <f>F113-(VLOOKUP(C113,'Non-medicinal details'!$A$1:$E$12,5,FALSE)*D113)</f>
        <v>0</v>
      </c>
    </row>
    <row r="114" spans="1:8" x14ac:dyDescent="0.3">
      <c r="A114" s="9">
        <v>45807</v>
      </c>
      <c r="B114" s="9" t="str">
        <f t="shared" si="2"/>
        <v>Friday</v>
      </c>
      <c r="C114" s="2" t="s">
        <v>34</v>
      </c>
      <c r="D114" s="2">
        <v>0</v>
      </c>
      <c r="E114">
        <f>VLOOKUP(C114,'Non-medicinal details'!$A$1:$E$12,4,FALSE)</f>
        <v>248</v>
      </c>
      <c r="F114">
        <f t="shared" si="3"/>
        <v>0</v>
      </c>
      <c r="G114" t="str">
        <f>VLOOKUP(C114,'Non-medicinal details'!$A$1:$E$12,3,FALSE)</f>
        <v>Hair Care</v>
      </c>
      <c r="H114">
        <f>F114-(VLOOKUP(C114,'Non-medicinal details'!$A$1:$E$12,5,FALSE)*D114)</f>
        <v>0</v>
      </c>
    </row>
    <row r="115" spans="1:8" x14ac:dyDescent="0.3">
      <c r="A115" s="9">
        <v>45807</v>
      </c>
      <c r="B115" s="9" t="str">
        <f t="shared" si="2"/>
        <v>Friday</v>
      </c>
      <c r="C115" s="2" t="s">
        <v>35</v>
      </c>
      <c r="D115" s="2">
        <v>0</v>
      </c>
      <c r="E115">
        <f>VLOOKUP(C115,'Non-medicinal details'!$A$1:$E$12,4,FALSE)</f>
        <v>200</v>
      </c>
      <c r="F115">
        <f t="shared" si="3"/>
        <v>0</v>
      </c>
      <c r="G115" t="str">
        <f>VLOOKUP(C115,'Non-medicinal details'!$A$1:$E$12,3,FALSE)</f>
        <v>Oral Care</v>
      </c>
      <c r="H115">
        <f>F115-(VLOOKUP(C115,'Non-medicinal details'!$A$1:$E$12,5,FALSE)*D115)</f>
        <v>0</v>
      </c>
    </row>
    <row r="116" spans="1:8" x14ac:dyDescent="0.3">
      <c r="A116" s="9">
        <v>45807</v>
      </c>
      <c r="B116" s="9" t="str">
        <f t="shared" si="2"/>
        <v>Friday</v>
      </c>
      <c r="C116" s="2" t="s">
        <v>37</v>
      </c>
      <c r="D116" s="2">
        <v>1</v>
      </c>
      <c r="E116">
        <f>VLOOKUP(C116,'Non-medicinal details'!$A$1:$E$12,4,FALSE)</f>
        <v>46</v>
      </c>
      <c r="F116">
        <f t="shared" si="3"/>
        <v>46</v>
      </c>
      <c r="G116" t="str">
        <f>VLOOKUP(C116,'Non-medicinal details'!$A$1:$E$12,3,FALSE)</f>
        <v>Oral Care</v>
      </c>
      <c r="H116">
        <f>F116-(VLOOKUP(C116,'Non-medicinal details'!$A$1:$E$12,5,FALSE)*D116)</f>
        <v>16</v>
      </c>
    </row>
    <row r="117" spans="1:8" x14ac:dyDescent="0.3">
      <c r="A117" s="9">
        <v>45807</v>
      </c>
      <c r="B117" s="9" t="str">
        <f t="shared" si="2"/>
        <v>Friday</v>
      </c>
      <c r="C117" s="2" t="s">
        <v>38</v>
      </c>
      <c r="D117" s="2">
        <v>0</v>
      </c>
      <c r="E117">
        <f>VLOOKUP(C117,'Non-medicinal details'!$A$1:$E$12,4,FALSE)</f>
        <v>95</v>
      </c>
      <c r="F117">
        <f t="shared" si="3"/>
        <v>0</v>
      </c>
      <c r="G117" t="str">
        <f>VLOOKUP(C117,'Non-medicinal details'!$A$1:$E$12,3,FALSE)</f>
        <v>Skin Care</v>
      </c>
      <c r="H117">
        <f>F117-(VLOOKUP(C117,'Non-medicinal details'!$A$1:$E$12,5,FALSE)*D117)</f>
        <v>0</v>
      </c>
    </row>
    <row r="118" spans="1:8" x14ac:dyDescent="0.3">
      <c r="A118" s="9">
        <v>45807</v>
      </c>
      <c r="B118" s="9" t="str">
        <f t="shared" si="2"/>
        <v>Friday</v>
      </c>
      <c r="C118" s="2" t="s">
        <v>39</v>
      </c>
      <c r="D118" s="2">
        <v>0</v>
      </c>
      <c r="E118">
        <f>VLOOKUP(C118,'Non-medicinal details'!$A$1:$E$12,4,FALSE)</f>
        <v>35</v>
      </c>
      <c r="F118">
        <f t="shared" si="3"/>
        <v>0</v>
      </c>
      <c r="G118" t="str">
        <f>VLOOKUP(C118,'Non-medicinal details'!$A$1:$E$12,3,FALSE)</f>
        <v>Skin Care</v>
      </c>
      <c r="H118">
        <f>F118-(VLOOKUP(C118,'Non-medicinal details'!$A$1:$E$12,5,FALSE)*D118)</f>
        <v>0</v>
      </c>
    </row>
    <row r="119" spans="1:8" x14ac:dyDescent="0.3">
      <c r="A119" s="9">
        <v>45807</v>
      </c>
      <c r="B119" s="9" t="str">
        <f t="shared" si="2"/>
        <v>Friday</v>
      </c>
      <c r="C119" s="2" t="s">
        <v>40</v>
      </c>
      <c r="D119" s="2">
        <v>0</v>
      </c>
      <c r="E119">
        <f>VLOOKUP(C119,'Non-medicinal details'!$A$1:$E$12,4,FALSE)</f>
        <v>60</v>
      </c>
      <c r="F119">
        <f t="shared" si="3"/>
        <v>0</v>
      </c>
      <c r="G119" t="str">
        <f>VLOOKUP(C119,'Non-medicinal details'!$A$1:$E$12,3,FALSE)</f>
        <v>Baby and Child Care</v>
      </c>
      <c r="H119">
        <f>F119-(VLOOKUP(C119,'Non-medicinal details'!$A$1:$E$12,5,FALSE)*D119)</f>
        <v>0</v>
      </c>
    </row>
    <row r="120" spans="1:8" x14ac:dyDescent="0.3">
      <c r="A120" s="9">
        <v>45807</v>
      </c>
      <c r="B120" s="9" t="str">
        <f t="shared" si="2"/>
        <v>Friday</v>
      </c>
      <c r="C120" s="2" t="s">
        <v>41</v>
      </c>
      <c r="D120" s="2">
        <v>0</v>
      </c>
      <c r="E120">
        <f>VLOOKUP(C120,'Non-medicinal details'!$A$1:$E$12,4,FALSE)</f>
        <v>120</v>
      </c>
      <c r="F120">
        <f t="shared" si="3"/>
        <v>0</v>
      </c>
      <c r="G120" t="str">
        <f>VLOOKUP(C120,'Non-medicinal details'!$A$1:$E$12,3,FALSE)</f>
        <v>Baby and Child Care</v>
      </c>
      <c r="H120">
        <f>F120-(VLOOKUP(C120,'Non-medicinal details'!$A$1:$E$12,5,FALSE)*D120)</f>
        <v>0</v>
      </c>
    </row>
    <row r="121" spans="1:8" x14ac:dyDescent="0.3">
      <c r="A121" s="9">
        <v>45807</v>
      </c>
      <c r="B121" s="9" t="str">
        <f t="shared" si="2"/>
        <v>Friday</v>
      </c>
      <c r="C121" s="2" t="s">
        <v>42</v>
      </c>
      <c r="D121" s="2">
        <v>0</v>
      </c>
      <c r="E121">
        <f>VLOOKUP(C121,'Non-medicinal details'!$A$1:$E$12,4,FALSE)</f>
        <v>50</v>
      </c>
      <c r="F121">
        <f t="shared" si="3"/>
        <v>0</v>
      </c>
      <c r="G121" t="str">
        <f>VLOOKUP(C121,'Non-medicinal details'!$A$1:$E$12,3,FALSE)</f>
        <v>Hygiene</v>
      </c>
      <c r="H121">
        <f>F121-(VLOOKUP(C121,'Non-medicinal details'!$A$1:$E$12,5,FALSE)*D121)</f>
        <v>0</v>
      </c>
    </row>
    <row r="122" spans="1:8" x14ac:dyDescent="0.3">
      <c r="A122" s="9">
        <v>45807</v>
      </c>
      <c r="B122" s="9" t="str">
        <f t="shared" si="2"/>
        <v>Friday</v>
      </c>
      <c r="C122" s="2" t="s">
        <v>43</v>
      </c>
      <c r="D122" s="2">
        <v>2</v>
      </c>
      <c r="E122">
        <f>VLOOKUP(C122,'Non-medicinal details'!$A$1:$E$12,4,FALSE)</f>
        <v>250</v>
      </c>
      <c r="F122">
        <f t="shared" si="3"/>
        <v>500</v>
      </c>
      <c r="G122" t="str">
        <f>VLOOKUP(C122,'Non-medicinal details'!$A$1:$E$12,3,FALSE)</f>
        <v>Nutritional powders</v>
      </c>
      <c r="H122">
        <f>F122-(VLOOKUP(C122,'Non-medicinal details'!$A$1:$E$12,5,FALSE)*D122)</f>
        <v>80</v>
      </c>
    </row>
    <row r="123" spans="1:8" x14ac:dyDescent="0.3">
      <c r="A123" s="9">
        <v>45807</v>
      </c>
      <c r="B123" s="9" t="str">
        <f t="shared" si="2"/>
        <v>Friday</v>
      </c>
      <c r="C123" s="2" t="s">
        <v>44</v>
      </c>
      <c r="D123" s="2">
        <v>0</v>
      </c>
      <c r="E123">
        <f>VLOOKUP(C123,'Non-medicinal details'!$A$1:$E$12,4,FALSE)</f>
        <v>249</v>
      </c>
      <c r="F123">
        <f t="shared" si="3"/>
        <v>0</v>
      </c>
      <c r="G123" t="str">
        <f>VLOOKUP(C123,'Non-medicinal details'!$A$1:$E$12,3,FALSE)</f>
        <v>Nutritional powders</v>
      </c>
      <c r="H123">
        <f>F123-(VLOOKUP(C123,'Non-medicinal details'!$A$1:$E$12,5,FALSE)*D123)</f>
        <v>0</v>
      </c>
    </row>
    <row r="124" spans="1:8" x14ac:dyDescent="0.3">
      <c r="A124" s="9">
        <v>45808</v>
      </c>
      <c r="B124" s="9" t="str">
        <f t="shared" si="2"/>
        <v>Saturday</v>
      </c>
      <c r="C124" s="2" t="s">
        <v>33</v>
      </c>
      <c r="D124" s="2">
        <v>1</v>
      </c>
      <c r="E124">
        <f>VLOOKUP(C124,'Non-medicinal details'!$A$1:$E$12,4,FALSE)</f>
        <v>520</v>
      </c>
      <c r="F124">
        <f t="shared" si="3"/>
        <v>520</v>
      </c>
      <c r="G124" t="str">
        <f>VLOOKUP(C124,'Non-medicinal details'!$A$1:$E$12,3,FALSE)</f>
        <v>Hair Care</v>
      </c>
      <c r="H124">
        <f>F124-(VLOOKUP(C124,'Non-medicinal details'!$A$1:$E$12,5,FALSE)*D124)</f>
        <v>20</v>
      </c>
    </row>
    <row r="125" spans="1:8" x14ac:dyDescent="0.3">
      <c r="A125" s="9">
        <v>45808</v>
      </c>
      <c r="B125" s="9" t="str">
        <f t="shared" si="2"/>
        <v>Saturday</v>
      </c>
      <c r="C125" s="2" t="s">
        <v>34</v>
      </c>
      <c r="D125" s="2">
        <v>0</v>
      </c>
      <c r="E125">
        <f>VLOOKUP(C125,'Non-medicinal details'!$A$1:$E$12,4,FALSE)</f>
        <v>248</v>
      </c>
      <c r="F125">
        <f t="shared" si="3"/>
        <v>0</v>
      </c>
      <c r="G125" t="str">
        <f>VLOOKUP(C125,'Non-medicinal details'!$A$1:$E$12,3,FALSE)</f>
        <v>Hair Care</v>
      </c>
      <c r="H125">
        <f>F125-(VLOOKUP(C125,'Non-medicinal details'!$A$1:$E$12,5,FALSE)*D125)</f>
        <v>0</v>
      </c>
    </row>
    <row r="126" spans="1:8" x14ac:dyDescent="0.3">
      <c r="A126" s="9">
        <v>45808</v>
      </c>
      <c r="B126" s="9" t="str">
        <f t="shared" si="2"/>
        <v>Saturday</v>
      </c>
      <c r="C126" s="2" t="s">
        <v>35</v>
      </c>
      <c r="D126" s="2">
        <v>0</v>
      </c>
      <c r="E126">
        <f>VLOOKUP(C126,'Non-medicinal details'!$A$1:$E$12,4,FALSE)</f>
        <v>200</v>
      </c>
      <c r="F126">
        <f t="shared" si="3"/>
        <v>0</v>
      </c>
      <c r="G126" t="str">
        <f>VLOOKUP(C126,'Non-medicinal details'!$A$1:$E$12,3,FALSE)</f>
        <v>Oral Care</v>
      </c>
      <c r="H126">
        <f>F126-(VLOOKUP(C126,'Non-medicinal details'!$A$1:$E$12,5,FALSE)*D126)</f>
        <v>0</v>
      </c>
    </row>
    <row r="127" spans="1:8" x14ac:dyDescent="0.3">
      <c r="A127" s="9">
        <v>45808</v>
      </c>
      <c r="B127" s="9" t="str">
        <f t="shared" si="2"/>
        <v>Saturday</v>
      </c>
      <c r="C127" s="2" t="s">
        <v>37</v>
      </c>
      <c r="D127" s="2">
        <v>0</v>
      </c>
      <c r="E127">
        <f>VLOOKUP(C127,'Non-medicinal details'!$A$1:$E$12,4,FALSE)</f>
        <v>46</v>
      </c>
      <c r="F127">
        <f t="shared" si="3"/>
        <v>0</v>
      </c>
      <c r="G127" t="str">
        <f>VLOOKUP(C127,'Non-medicinal details'!$A$1:$E$12,3,FALSE)</f>
        <v>Oral Care</v>
      </c>
      <c r="H127">
        <f>F127-(VLOOKUP(C127,'Non-medicinal details'!$A$1:$E$12,5,FALSE)*D127)</f>
        <v>0</v>
      </c>
    </row>
    <row r="128" spans="1:8" x14ac:dyDescent="0.3">
      <c r="A128" s="9">
        <v>45808</v>
      </c>
      <c r="B128" s="9" t="str">
        <f t="shared" si="2"/>
        <v>Saturday</v>
      </c>
      <c r="C128" s="2" t="s">
        <v>38</v>
      </c>
      <c r="D128" s="2">
        <v>0</v>
      </c>
      <c r="E128">
        <f>VLOOKUP(C128,'Non-medicinal details'!$A$1:$E$12,4,FALSE)</f>
        <v>95</v>
      </c>
      <c r="F128">
        <f t="shared" si="3"/>
        <v>0</v>
      </c>
      <c r="G128" t="str">
        <f>VLOOKUP(C128,'Non-medicinal details'!$A$1:$E$12,3,FALSE)</f>
        <v>Skin Care</v>
      </c>
      <c r="H128">
        <f>F128-(VLOOKUP(C128,'Non-medicinal details'!$A$1:$E$12,5,FALSE)*D128)</f>
        <v>0</v>
      </c>
    </row>
    <row r="129" spans="1:8" x14ac:dyDescent="0.3">
      <c r="A129" s="9">
        <v>45808</v>
      </c>
      <c r="B129" s="9" t="str">
        <f t="shared" si="2"/>
        <v>Saturday</v>
      </c>
      <c r="C129" s="2" t="s">
        <v>39</v>
      </c>
      <c r="D129" s="2">
        <v>0</v>
      </c>
      <c r="E129">
        <f>VLOOKUP(C129,'Non-medicinal details'!$A$1:$E$12,4,FALSE)</f>
        <v>35</v>
      </c>
      <c r="F129">
        <f t="shared" si="3"/>
        <v>0</v>
      </c>
      <c r="G129" t="str">
        <f>VLOOKUP(C129,'Non-medicinal details'!$A$1:$E$12,3,FALSE)</f>
        <v>Skin Care</v>
      </c>
      <c r="H129">
        <f>F129-(VLOOKUP(C129,'Non-medicinal details'!$A$1:$E$12,5,FALSE)*D129)</f>
        <v>0</v>
      </c>
    </row>
    <row r="130" spans="1:8" x14ac:dyDescent="0.3">
      <c r="A130" s="9">
        <v>45808</v>
      </c>
      <c r="B130" s="9" t="str">
        <f t="shared" si="2"/>
        <v>Saturday</v>
      </c>
      <c r="C130" s="2" t="s">
        <v>40</v>
      </c>
      <c r="D130" s="2">
        <v>0</v>
      </c>
      <c r="E130">
        <f>VLOOKUP(C130,'Non-medicinal details'!$A$1:$E$12,4,FALSE)</f>
        <v>60</v>
      </c>
      <c r="F130">
        <f t="shared" si="3"/>
        <v>0</v>
      </c>
      <c r="G130" t="str">
        <f>VLOOKUP(C130,'Non-medicinal details'!$A$1:$E$12,3,FALSE)</f>
        <v>Baby and Child Care</v>
      </c>
      <c r="H130">
        <f>F130-(VLOOKUP(C130,'Non-medicinal details'!$A$1:$E$12,5,FALSE)*D130)</f>
        <v>0</v>
      </c>
    </row>
    <row r="131" spans="1:8" x14ac:dyDescent="0.3">
      <c r="A131" s="9">
        <v>45808</v>
      </c>
      <c r="B131" s="9" t="str">
        <f t="shared" si="2"/>
        <v>Saturday</v>
      </c>
      <c r="C131" s="2" t="s">
        <v>41</v>
      </c>
      <c r="D131" s="2">
        <v>0</v>
      </c>
      <c r="E131">
        <f>VLOOKUP(C131,'Non-medicinal details'!$A$1:$E$12,4,FALSE)</f>
        <v>120</v>
      </c>
      <c r="F131">
        <f t="shared" si="3"/>
        <v>0</v>
      </c>
      <c r="G131" t="str">
        <f>VLOOKUP(C131,'Non-medicinal details'!$A$1:$E$12,3,FALSE)</f>
        <v>Baby and Child Care</v>
      </c>
      <c r="H131">
        <f>F131-(VLOOKUP(C131,'Non-medicinal details'!$A$1:$E$12,5,FALSE)*D131)</f>
        <v>0</v>
      </c>
    </row>
    <row r="132" spans="1:8" x14ac:dyDescent="0.3">
      <c r="A132" s="9">
        <v>45808</v>
      </c>
      <c r="B132" s="9" t="str">
        <f t="shared" ref="B132:B195" si="4">TEXT(A132,"dddd")</f>
        <v>Saturday</v>
      </c>
      <c r="C132" s="2" t="s">
        <v>42</v>
      </c>
      <c r="D132" s="2">
        <v>1</v>
      </c>
      <c r="E132">
        <f>VLOOKUP(C132,'Non-medicinal details'!$A$1:$E$12,4,FALSE)</f>
        <v>50</v>
      </c>
      <c r="F132">
        <f t="shared" ref="F132:F195" si="5">D132*E132</f>
        <v>50</v>
      </c>
      <c r="G132" t="str">
        <f>VLOOKUP(C132,'Non-medicinal details'!$A$1:$E$12,3,FALSE)</f>
        <v>Hygiene</v>
      </c>
      <c r="H132">
        <f>F132-(VLOOKUP(C132,'Non-medicinal details'!$A$1:$E$12,5,FALSE)*D132)</f>
        <v>12</v>
      </c>
    </row>
    <row r="133" spans="1:8" x14ac:dyDescent="0.3">
      <c r="A133" s="9">
        <v>45808</v>
      </c>
      <c r="B133" s="9" t="str">
        <f t="shared" si="4"/>
        <v>Saturday</v>
      </c>
      <c r="C133" s="2" t="s">
        <v>43</v>
      </c>
      <c r="D133" s="2">
        <v>0</v>
      </c>
      <c r="E133">
        <f>VLOOKUP(C133,'Non-medicinal details'!$A$1:$E$12,4,FALSE)</f>
        <v>250</v>
      </c>
      <c r="F133">
        <f t="shared" si="5"/>
        <v>0</v>
      </c>
      <c r="G133" t="str">
        <f>VLOOKUP(C133,'Non-medicinal details'!$A$1:$E$12,3,FALSE)</f>
        <v>Nutritional powders</v>
      </c>
      <c r="H133">
        <f>F133-(VLOOKUP(C133,'Non-medicinal details'!$A$1:$E$12,5,FALSE)*D133)</f>
        <v>0</v>
      </c>
    </row>
    <row r="134" spans="1:8" x14ac:dyDescent="0.3">
      <c r="A134" s="9">
        <v>45808</v>
      </c>
      <c r="B134" s="9" t="str">
        <f t="shared" si="4"/>
        <v>Saturday</v>
      </c>
      <c r="C134" s="2" t="s">
        <v>44</v>
      </c>
      <c r="D134" s="2">
        <v>0</v>
      </c>
      <c r="E134">
        <f>VLOOKUP(C134,'Non-medicinal details'!$A$1:$E$12,4,FALSE)</f>
        <v>249</v>
      </c>
      <c r="F134">
        <f t="shared" si="5"/>
        <v>0</v>
      </c>
      <c r="G134" t="str">
        <f>VLOOKUP(C134,'Non-medicinal details'!$A$1:$E$12,3,FALSE)</f>
        <v>Nutritional powders</v>
      </c>
      <c r="H134">
        <f>F134-(VLOOKUP(C134,'Non-medicinal details'!$A$1:$E$12,5,FALSE)*D134)</f>
        <v>0</v>
      </c>
    </row>
    <row r="135" spans="1:8" x14ac:dyDescent="0.3">
      <c r="A135" s="9">
        <v>45809</v>
      </c>
      <c r="B135" s="9" t="str">
        <f t="shared" si="4"/>
        <v>Sunday</v>
      </c>
      <c r="C135" s="2" t="s">
        <v>33</v>
      </c>
      <c r="D135" s="2">
        <v>0</v>
      </c>
      <c r="E135">
        <f>VLOOKUP(C135,'Non-medicinal details'!$A$1:$E$12,4,FALSE)</f>
        <v>520</v>
      </c>
      <c r="F135">
        <f t="shared" si="5"/>
        <v>0</v>
      </c>
      <c r="G135" t="str">
        <f>VLOOKUP(C135,'Non-medicinal details'!$A$1:$E$12,3,FALSE)</f>
        <v>Hair Care</v>
      </c>
      <c r="H135">
        <f>F135-(VLOOKUP(C135,'Non-medicinal details'!$A$1:$E$12,5,FALSE)*D135)</f>
        <v>0</v>
      </c>
    </row>
    <row r="136" spans="1:8" x14ac:dyDescent="0.3">
      <c r="A136" s="9">
        <v>45809</v>
      </c>
      <c r="B136" s="9" t="str">
        <f t="shared" si="4"/>
        <v>Sunday</v>
      </c>
      <c r="C136" s="2" t="s">
        <v>34</v>
      </c>
      <c r="D136" s="2">
        <v>0</v>
      </c>
      <c r="E136">
        <f>VLOOKUP(C136,'Non-medicinal details'!$A$1:$E$12,4,FALSE)</f>
        <v>248</v>
      </c>
      <c r="F136">
        <f t="shared" si="5"/>
        <v>0</v>
      </c>
      <c r="G136" t="str">
        <f>VLOOKUP(C136,'Non-medicinal details'!$A$1:$E$12,3,FALSE)</f>
        <v>Hair Care</v>
      </c>
      <c r="H136">
        <f>F136-(VLOOKUP(C136,'Non-medicinal details'!$A$1:$E$12,5,FALSE)*D136)</f>
        <v>0</v>
      </c>
    </row>
    <row r="137" spans="1:8" x14ac:dyDescent="0.3">
      <c r="A137" s="9">
        <v>45809</v>
      </c>
      <c r="B137" s="9" t="str">
        <f t="shared" si="4"/>
        <v>Sunday</v>
      </c>
      <c r="C137" s="2" t="s">
        <v>35</v>
      </c>
      <c r="D137" s="2">
        <v>0</v>
      </c>
      <c r="E137">
        <f>VLOOKUP(C137,'Non-medicinal details'!$A$1:$E$12,4,FALSE)</f>
        <v>200</v>
      </c>
      <c r="F137">
        <f t="shared" si="5"/>
        <v>0</v>
      </c>
      <c r="G137" t="str">
        <f>VLOOKUP(C137,'Non-medicinal details'!$A$1:$E$12,3,FALSE)</f>
        <v>Oral Care</v>
      </c>
      <c r="H137">
        <f>F137-(VLOOKUP(C137,'Non-medicinal details'!$A$1:$E$12,5,FALSE)*D137)</f>
        <v>0</v>
      </c>
    </row>
    <row r="138" spans="1:8" x14ac:dyDescent="0.3">
      <c r="A138" s="9">
        <v>45809</v>
      </c>
      <c r="B138" s="9" t="str">
        <f t="shared" si="4"/>
        <v>Sunday</v>
      </c>
      <c r="C138" s="2" t="s">
        <v>37</v>
      </c>
      <c r="D138" s="2">
        <v>1</v>
      </c>
      <c r="E138">
        <f>VLOOKUP(C138,'Non-medicinal details'!$A$1:$E$12,4,FALSE)</f>
        <v>46</v>
      </c>
      <c r="F138">
        <f t="shared" si="5"/>
        <v>46</v>
      </c>
      <c r="G138" t="str">
        <f>VLOOKUP(C138,'Non-medicinal details'!$A$1:$E$12,3,FALSE)</f>
        <v>Oral Care</v>
      </c>
      <c r="H138">
        <f>F138-(VLOOKUP(C138,'Non-medicinal details'!$A$1:$E$12,5,FALSE)*D138)</f>
        <v>16</v>
      </c>
    </row>
    <row r="139" spans="1:8" x14ac:dyDescent="0.3">
      <c r="A139" s="9">
        <v>45809</v>
      </c>
      <c r="B139" s="9" t="str">
        <f t="shared" si="4"/>
        <v>Sunday</v>
      </c>
      <c r="C139" s="2" t="s">
        <v>38</v>
      </c>
      <c r="D139" s="2">
        <v>0</v>
      </c>
      <c r="E139">
        <f>VLOOKUP(C139,'Non-medicinal details'!$A$1:$E$12,4,FALSE)</f>
        <v>95</v>
      </c>
      <c r="F139">
        <f t="shared" si="5"/>
        <v>0</v>
      </c>
      <c r="G139" t="str">
        <f>VLOOKUP(C139,'Non-medicinal details'!$A$1:$E$12,3,FALSE)</f>
        <v>Skin Care</v>
      </c>
      <c r="H139">
        <f>F139-(VLOOKUP(C139,'Non-medicinal details'!$A$1:$E$12,5,FALSE)*D139)</f>
        <v>0</v>
      </c>
    </row>
    <row r="140" spans="1:8" x14ac:dyDescent="0.3">
      <c r="A140" s="9">
        <v>45809</v>
      </c>
      <c r="B140" s="9" t="str">
        <f t="shared" si="4"/>
        <v>Sunday</v>
      </c>
      <c r="C140" s="2" t="s">
        <v>39</v>
      </c>
      <c r="D140" s="2">
        <v>0</v>
      </c>
      <c r="E140">
        <f>VLOOKUP(C140,'Non-medicinal details'!$A$1:$E$12,4,FALSE)</f>
        <v>35</v>
      </c>
      <c r="F140">
        <f t="shared" si="5"/>
        <v>0</v>
      </c>
      <c r="G140" t="str">
        <f>VLOOKUP(C140,'Non-medicinal details'!$A$1:$E$12,3,FALSE)</f>
        <v>Skin Care</v>
      </c>
      <c r="H140">
        <f>F140-(VLOOKUP(C140,'Non-medicinal details'!$A$1:$E$12,5,FALSE)*D140)</f>
        <v>0</v>
      </c>
    </row>
    <row r="141" spans="1:8" x14ac:dyDescent="0.3">
      <c r="A141" s="9">
        <v>45809</v>
      </c>
      <c r="B141" s="9" t="str">
        <f t="shared" si="4"/>
        <v>Sunday</v>
      </c>
      <c r="C141" s="2" t="s">
        <v>40</v>
      </c>
      <c r="D141" s="2">
        <v>4</v>
      </c>
      <c r="E141">
        <f>VLOOKUP(C141,'Non-medicinal details'!$A$1:$E$12,4,FALSE)</f>
        <v>60</v>
      </c>
      <c r="F141">
        <f t="shared" si="5"/>
        <v>240</v>
      </c>
      <c r="G141" t="str">
        <f>VLOOKUP(C141,'Non-medicinal details'!$A$1:$E$12,3,FALSE)</f>
        <v>Baby and Child Care</v>
      </c>
      <c r="H141">
        <f>F141-(VLOOKUP(C141,'Non-medicinal details'!$A$1:$E$12,5,FALSE)*D141)</f>
        <v>80</v>
      </c>
    </row>
    <row r="142" spans="1:8" x14ac:dyDescent="0.3">
      <c r="A142" s="9">
        <v>45809</v>
      </c>
      <c r="B142" s="9" t="str">
        <f t="shared" si="4"/>
        <v>Sunday</v>
      </c>
      <c r="C142" s="2" t="s">
        <v>41</v>
      </c>
      <c r="D142" s="2">
        <v>0</v>
      </c>
      <c r="E142">
        <f>VLOOKUP(C142,'Non-medicinal details'!$A$1:$E$12,4,FALSE)</f>
        <v>120</v>
      </c>
      <c r="F142">
        <f t="shared" si="5"/>
        <v>0</v>
      </c>
      <c r="G142" t="str">
        <f>VLOOKUP(C142,'Non-medicinal details'!$A$1:$E$12,3,FALSE)</f>
        <v>Baby and Child Care</v>
      </c>
      <c r="H142">
        <f>F142-(VLOOKUP(C142,'Non-medicinal details'!$A$1:$E$12,5,FALSE)*D142)</f>
        <v>0</v>
      </c>
    </row>
    <row r="143" spans="1:8" x14ac:dyDescent="0.3">
      <c r="A143" s="9">
        <v>45809</v>
      </c>
      <c r="B143" s="9" t="str">
        <f t="shared" si="4"/>
        <v>Sunday</v>
      </c>
      <c r="C143" s="2" t="s">
        <v>42</v>
      </c>
      <c r="D143" s="2">
        <v>3</v>
      </c>
      <c r="E143">
        <f>VLOOKUP(C143,'Non-medicinal details'!$A$1:$E$12,4,FALSE)</f>
        <v>50</v>
      </c>
      <c r="F143">
        <f t="shared" si="5"/>
        <v>150</v>
      </c>
      <c r="G143" t="str">
        <f>VLOOKUP(C143,'Non-medicinal details'!$A$1:$E$12,3,FALSE)</f>
        <v>Hygiene</v>
      </c>
      <c r="H143">
        <f>F143-(VLOOKUP(C143,'Non-medicinal details'!$A$1:$E$12,5,FALSE)*D143)</f>
        <v>36</v>
      </c>
    </row>
    <row r="144" spans="1:8" x14ac:dyDescent="0.3">
      <c r="A144" s="9">
        <v>45809</v>
      </c>
      <c r="B144" s="9" t="str">
        <f t="shared" si="4"/>
        <v>Sunday</v>
      </c>
      <c r="C144" s="2" t="s">
        <v>43</v>
      </c>
      <c r="D144" s="2">
        <v>0</v>
      </c>
      <c r="E144">
        <f>VLOOKUP(C144,'Non-medicinal details'!$A$1:$E$12,4,FALSE)</f>
        <v>250</v>
      </c>
      <c r="F144">
        <f t="shared" si="5"/>
        <v>0</v>
      </c>
      <c r="G144" t="str">
        <f>VLOOKUP(C144,'Non-medicinal details'!$A$1:$E$12,3,FALSE)</f>
        <v>Nutritional powders</v>
      </c>
      <c r="H144">
        <f>F144-(VLOOKUP(C144,'Non-medicinal details'!$A$1:$E$12,5,FALSE)*D144)</f>
        <v>0</v>
      </c>
    </row>
    <row r="145" spans="1:8" x14ac:dyDescent="0.3">
      <c r="A145" s="9">
        <v>45809</v>
      </c>
      <c r="B145" s="9" t="str">
        <f t="shared" si="4"/>
        <v>Sunday</v>
      </c>
      <c r="C145" s="2" t="s">
        <v>44</v>
      </c>
      <c r="D145" s="2">
        <v>1</v>
      </c>
      <c r="E145">
        <f>VLOOKUP(C145,'Non-medicinal details'!$A$1:$E$12,4,FALSE)</f>
        <v>249</v>
      </c>
      <c r="F145">
        <f t="shared" si="5"/>
        <v>249</v>
      </c>
      <c r="G145" t="str">
        <f>VLOOKUP(C145,'Non-medicinal details'!$A$1:$E$12,3,FALSE)</f>
        <v>Nutritional powders</v>
      </c>
      <c r="H145">
        <f>F145-(VLOOKUP(C145,'Non-medicinal details'!$A$1:$E$12,5,FALSE)*D145)</f>
        <v>49</v>
      </c>
    </row>
    <row r="146" spans="1:8" x14ac:dyDescent="0.3">
      <c r="A146" s="9">
        <v>45810</v>
      </c>
      <c r="B146" s="9" t="str">
        <f t="shared" si="4"/>
        <v>Monday</v>
      </c>
      <c r="C146" s="2" t="s">
        <v>33</v>
      </c>
      <c r="D146" s="2">
        <v>0</v>
      </c>
      <c r="E146">
        <f>VLOOKUP(C146,'Non-medicinal details'!$A$1:$E$12,4,FALSE)</f>
        <v>520</v>
      </c>
      <c r="F146">
        <f t="shared" si="5"/>
        <v>0</v>
      </c>
      <c r="G146" t="str">
        <f>VLOOKUP(C146,'Non-medicinal details'!$A$1:$E$12,3,FALSE)</f>
        <v>Hair Care</v>
      </c>
      <c r="H146">
        <f>F146-(VLOOKUP(C146,'Non-medicinal details'!$A$1:$E$12,5,FALSE)*D146)</f>
        <v>0</v>
      </c>
    </row>
    <row r="147" spans="1:8" x14ac:dyDescent="0.3">
      <c r="A147" s="9">
        <v>45810</v>
      </c>
      <c r="B147" s="9" t="str">
        <f t="shared" si="4"/>
        <v>Monday</v>
      </c>
      <c r="C147" s="2" t="s">
        <v>34</v>
      </c>
      <c r="D147" s="2">
        <v>2</v>
      </c>
      <c r="E147">
        <f>VLOOKUP(C147,'Non-medicinal details'!$A$1:$E$12,4,FALSE)</f>
        <v>248</v>
      </c>
      <c r="F147">
        <f t="shared" si="5"/>
        <v>496</v>
      </c>
      <c r="G147" t="str">
        <f>VLOOKUP(C147,'Non-medicinal details'!$A$1:$E$12,3,FALSE)</f>
        <v>Hair Care</v>
      </c>
      <c r="H147">
        <f>F147-(VLOOKUP(C147,'Non-medicinal details'!$A$1:$E$12,5,FALSE)*D147)</f>
        <v>176</v>
      </c>
    </row>
    <row r="148" spans="1:8" x14ac:dyDescent="0.3">
      <c r="A148" s="9">
        <v>45810</v>
      </c>
      <c r="B148" s="9" t="str">
        <f t="shared" si="4"/>
        <v>Monday</v>
      </c>
      <c r="C148" s="2" t="s">
        <v>35</v>
      </c>
      <c r="D148" s="2">
        <v>0</v>
      </c>
      <c r="E148">
        <f>VLOOKUP(C148,'Non-medicinal details'!$A$1:$E$12,4,FALSE)</f>
        <v>200</v>
      </c>
      <c r="F148">
        <f t="shared" si="5"/>
        <v>0</v>
      </c>
      <c r="G148" t="str">
        <f>VLOOKUP(C148,'Non-medicinal details'!$A$1:$E$12,3,FALSE)</f>
        <v>Oral Care</v>
      </c>
      <c r="H148">
        <f>F148-(VLOOKUP(C148,'Non-medicinal details'!$A$1:$E$12,5,FALSE)*D148)</f>
        <v>0</v>
      </c>
    </row>
    <row r="149" spans="1:8" x14ac:dyDescent="0.3">
      <c r="A149" s="9">
        <v>45810</v>
      </c>
      <c r="B149" s="9" t="str">
        <f t="shared" si="4"/>
        <v>Monday</v>
      </c>
      <c r="C149" s="2" t="s">
        <v>37</v>
      </c>
      <c r="D149" s="2">
        <v>2</v>
      </c>
      <c r="E149">
        <f>VLOOKUP(C149,'Non-medicinal details'!$A$1:$E$12,4,FALSE)</f>
        <v>46</v>
      </c>
      <c r="F149">
        <f t="shared" si="5"/>
        <v>92</v>
      </c>
      <c r="G149" t="str">
        <f>VLOOKUP(C149,'Non-medicinal details'!$A$1:$E$12,3,FALSE)</f>
        <v>Oral Care</v>
      </c>
      <c r="H149">
        <f>F149-(VLOOKUP(C149,'Non-medicinal details'!$A$1:$E$12,5,FALSE)*D149)</f>
        <v>32</v>
      </c>
    </row>
    <row r="150" spans="1:8" x14ac:dyDescent="0.3">
      <c r="A150" s="9">
        <v>45810</v>
      </c>
      <c r="B150" s="9" t="str">
        <f t="shared" si="4"/>
        <v>Monday</v>
      </c>
      <c r="C150" s="2" t="s">
        <v>38</v>
      </c>
      <c r="D150" s="2">
        <v>1</v>
      </c>
      <c r="E150">
        <f>VLOOKUP(C150,'Non-medicinal details'!$A$1:$E$12,4,FALSE)</f>
        <v>95</v>
      </c>
      <c r="F150">
        <f t="shared" si="5"/>
        <v>95</v>
      </c>
      <c r="G150" t="str">
        <f>VLOOKUP(C150,'Non-medicinal details'!$A$1:$E$12,3,FALSE)</f>
        <v>Skin Care</v>
      </c>
      <c r="H150">
        <f>F150-(VLOOKUP(C150,'Non-medicinal details'!$A$1:$E$12,5,FALSE)*D150)</f>
        <v>10</v>
      </c>
    </row>
    <row r="151" spans="1:8" x14ac:dyDescent="0.3">
      <c r="A151" s="9">
        <v>45810</v>
      </c>
      <c r="B151" s="9" t="str">
        <f t="shared" si="4"/>
        <v>Monday</v>
      </c>
      <c r="C151" s="2" t="s">
        <v>39</v>
      </c>
      <c r="D151" s="2">
        <v>0</v>
      </c>
      <c r="E151">
        <f>VLOOKUP(C151,'Non-medicinal details'!$A$1:$E$12,4,FALSE)</f>
        <v>35</v>
      </c>
      <c r="F151">
        <f t="shared" si="5"/>
        <v>0</v>
      </c>
      <c r="G151" t="str">
        <f>VLOOKUP(C151,'Non-medicinal details'!$A$1:$E$12,3,FALSE)</f>
        <v>Skin Care</v>
      </c>
      <c r="H151">
        <f>F151-(VLOOKUP(C151,'Non-medicinal details'!$A$1:$E$12,5,FALSE)*D151)</f>
        <v>0</v>
      </c>
    </row>
    <row r="152" spans="1:8" x14ac:dyDescent="0.3">
      <c r="A152" s="9">
        <v>45810</v>
      </c>
      <c r="B152" s="9" t="str">
        <f t="shared" si="4"/>
        <v>Monday</v>
      </c>
      <c r="C152" s="2" t="s">
        <v>40</v>
      </c>
      <c r="D152" s="2">
        <v>3</v>
      </c>
      <c r="E152">
        <f>VLOOKUP(C152,'Non-medicinal details'!$A$1:$E$12,4,FALSE)</f>
        <v>60</v>
      </c>
      <c r="F152">
        <f t="shared" si="5"/>
        <v>180</v>
      </c>
      <c r="G152" t="str">
        <f>VLOOKUP(C152,'Non-medicinal details'!$A$1:$E$12,3,FALSE)</f>
        <v>Baby and Child Care</v>
      </c>
      <c r="H152">
        <f>F152-(VLOOKUP(C152,'Non-medicinal details'!$A$1:$E$12,5,FALSE)*D152)</f>
        <v>60</v>
      </c>
    </row>
    <row r="153" spans="1:8" x14ac:dyDescent="0.3">
      <c r="A153" s="9">
        <v>45810</v>
      </c>
      <c r="B153" s="9" t="str">
        <f t="shared" si="4"/>
        <v>Monday</v>
      </c>
      <c r="C153" s="2" t="s">
        <v>41</v>
      </c>
      <c r="D153" s="2">
        <v>0</v>
      </c>
      <c r="E153">
        <f>VLOOKUP(C153,'Non-medicinal details'!$A$1:$E$12,4,FALSE)</f>
        <v>120</v>
      </c>
      <c r="F153">
        <f t="shared" si="5"/>
        <v>0</v>
      </c>
      <c r="G153" t="str">
        <f>VLOOKUP(C153,'Non-medicinal details'!$A$1:$E$12,3,FALSE)</f>
        <v>Baby and Child Care</v>
      </c>
      <c r="H153">
        <f>F153-(VLOOKUP(C153,'Non-medicinal details'!$A$1:$E$12,5,FALSE)*D153)</f>
        <v>0</v>
      </c>
    </row>
    <row r="154" spans="1:8" x14ac:dyDescent="0.3">
      <c r="A154" s="9">
        <v>45810</v>
      </c>
      <c r="B154" s="9" t="str">
        <f t="shared" si="4"/>
        <v>Monday</v>
      </c>
      <c r="C154" s="2" t="s">
        <v>42</v>
      </c>
      <c r="D154" s="2">
        <v>0</v>
      </c>
      <c r="E154">
        <f>VLOOKUP(C154,'Non-medicinal details'!$A$1:$E$12,4,FALSE)</f>
        <v>50</v>
      </c>
      <c r="F154">
        <f t="shared" si="5"/>
        <v>0</v>
      </c>
      <c r="G154" t="str">
        <f>VLOOKUP(C154,'Non-medicinal details'!$A$1:$E$12,3,FALSE)</f>
        <v>Hygiene</v>
      </c>
      <c r="H154">
        <f>F154-(VLOOKUP(C154,'Non-medicinal details'!$A$1:$E$12,5,FALSE)*D154)</f>
        <v>0</v>
      </c>
    </row>
    <row r="155" spans="1:8" x14ac:dyDescent="0.3">
      <c r="A155" s="9">
        <v>45810</v>
      </c>
      <c r="B155" s="9" t="str">
        <f t="shared" si="4"/>
        <v>Monday</v>
      </c>
      <c r="C155" s="2" t="s">
        <v>43</v>
      </c>
      <c r="D155" s="2">
        <v>0</v>
      </c>
      <c r="E155">
        <f>VLOOKUP(C155,'Non-medicinal details'!$A$1:$E$12,4,FALSE)</f>
        <v>250</v>
      </c>
      <c r="F155">
        <f t="shared" si="5"/>
        <v>0</v>
      </c>
      <c r="G155" t="str">
        <f>VLOOKUP(C155,'Non-medicinal details'!$A$1:$E$12,3,FALSE)</f>
        <v>Nutritional powders</v>
      </c>
      <c r="H155">
        <f>F155-(VLOOKUP(C155,'Non-medicinal details'!$A$1:$E$12,5,FALSE)*D155)</f>
        <v>0</v>
      </c>
    </row>
    <row r="156" spans="1:8" x14ac:dyDescent="0.3">
      <c r="A156" s="9">
        <v>45810</v>
      </c>
      <c r="B156" s="9" t="str">
        <f t="shared" si="4"/>
        <v>Monday</v>
      </c>
      <c r="C156" s="2" t="s">
        <v>44</v>
      </c>
      <c r="D156" s="2">
        <v>1</v>
      </c>
      <c r="E156">
        <f>VLOOKUP(C156,'Non-medicinal details'!$A$1:$E$12,4,FALSE)</f>
        <v>249</v>
      </c>
      <c r="F156">
        <f t="shared" si="5"/>
        <v>249</v>
      </c>
      <c r="G156" t="str">
        <f>VLOOKUP(C156,'Non-medicinal details'!$A$1:$E$12,3,FALSE)</f>
        <v>Nutritional powders</v>
      </c>
      <c r="H156">
        <f>F156-(VLOOKUP(C156,'Non-medicinal details'!$A$1:$E$12,5,FALSE)*D156)</f>
        <v>49</v>
      </c>
    </row>
    <row r="157" spans="1:8" x14ac:dyDescent="0.3">
      <c r="A157" s="9">
        <v>45811</v>
      </c>
      <c r="B157" s="9" t="str">
        <f t="shared" si="4"/>
        <v>Tuesday</v>
      </c>
      <c r="C157" s="2" t="s">
        <v>33</v>
      </c>
      <c r="D157" s="2">
        <v>2</v>
      </c>
      <c r="E157">
        <f>VLOOKUP(C157,'Non-medicinal details'!$A$1:$E$12,4,FALSE)</f>
        <v>520</v>
      </c>
      <c r="F157">
        <f t="shared" si="5"/>
        <v>1040</v>
      </c>
      <c r="G157" t="str">
        <f>VLOOKUP(C157,'Non-medicinal details'!$A$1:$E$12,3,FALSE)</f>
        <v>Hair Care</v>
      </c>
      <c r="H157">
        <f>F157-(VLOOKUP(C157,'Non-medicinal details'!$A$1:$E$12,5,FALSE)*D157)</f>
        <v>40</v>
      </c>
    </row>
    <row r="158" spans="1:8" x14ac:dyDescent="0.3">
      <c r="A158" s="9">
        <v>45811</v>
      </c>
      <c r="B158" s="9" t="str">
        <f t="shared" si="4"/>
        <v>Tuesday</v>
      </c>
      <c r="C158" s="2" t="s">
        <v>34</v>
      </c>
      <c r="D158" s="2">
        <v>0</v>
      </c>
      <c r="E158">
        <f>VLOOKUP(C158,'Non-medicinal details'!$A$1:$E$12,4,FALSE)</f>
        <v>248</v>
      </c>
      <c r="F158">
        <f t="shared" si="5"/>
        <v>0</v>
      </c>
      <c r="G158" t="str">
        <f>VLOOKUP(C158,'Non-medicinal details'!$A$1:$E$12,3,FALSE)</f>
        <v>Hair Care</v>
      </c>
      <c r="H158">
        <f>F158-(VLOOKUP(C158,'Non-medicinal details'!$A$1:$E$12,5,FALSE)*D158)</f>
        <v>0</v>
      </c>
    </row>
    <row r="159" spans="1:8" x14ac:dyDescent="0.3">
      <c r="A159" s="9">
        <v>45811</v>
      </c>
      <c r="B159" s="9" t="str">
        <f t="shared" si="4"/>
        <v>Tuesday</v>
      </c>
      <c r="C159" s="2" t="s">
        <v>35</v>
      </c>
      <c r="D159" s="2">
        <v>0</v>
      </c>
      <c r="E159">
        <f>VLOOKUP(C159,'Non-medicinal details'!$A$1:$E$12,4,FALSE)</f>
        <v>200</v>
      </c>
      <c r="F159">
        <f t="shared" si="5"/>
        <v>0</v>
      </c>
      <c r="G159" t="str">
        <f>VLOOKUP(C159,'Non-medicinal details'!$A$1:$E$12,3,FALSE)</f>
        <v>Oral Care</v>
      </c>
      <c r="H159">
        <f>F159-(VLOOKUP(C159,'Non-medicinal details'!$A$1:$E$12,5,FALSE)*D159)</f>
        <v>0</v>
      </c>
    </row>
    <row r="160" spans="1:8" x14ac:dyDescent="0.3">
      <c r="A160" s="9">
        <v>45811</v>
      </c>
      <c r="B160" s="9" t="str">
        <f t="shared" si="4"/>
        <v>Tuesday</v>
      </c>
      <c r="C160" s="2" t="s">
        <v>37</v>
      </c>
      <c r="D160" s="2">
        <v>0</v>
      </c>
      <c r="E160">
        <f>VLOOKUP(C160,'Non-medicinal details'!$A$1:$E$12,4,FALSE)</f>
        <v>46</v>
      </c>
      <c r="F160">
        <f t="shared" si="5"/>
        <v>0</v>
      </c>
      <c r="G160" t="str">
        <f>VLOOKUP(C160,'Non-medicinal details'!$A$1:$E$12,3,FALSE)</f>
        <v>Oral Care</v>
      </c>
      <c r="H160">
        <f>F160-(VLOOKUP(C160,'Non-medicinal details'!$A$1:$E$12,5,FALSE)*D160)</f>
        <v>0</v>
      </c>
    </row>
    <row r="161" spans="1:8" x14ac:dyDescent="0.3">
      <c r="A161" s="9">
        <v>45811</v>
      </c>
      <c r="B161" s="9" t="str">
        <f t="shared" si="4"/>
        <v>Tuesday</v>
      </c>
      <c r="C161" s="2" t="s">
        <v>38</v>
      </c>
      <c r="D161" s="2">
        <v>1</v>
      </c>
      <c r="E161">
        <f>VLOOKUP(C161,'Non-medicinal details'!$A$1:$E$12,4,FALSE)</f>
        <v>95</v>
      </c>
      <c r="F161">
        <f t="shared" si="5"/>
        <v>95</v>
      </c>
      <c r="G161" t="str">
        <f>VLOOKUP(C161,'Non-medicinal details'!$A$1:$E$12,3,FALSE)</f>
        <v>Skin Care</v>
      </c>
      <c r="H161">
        <f>F161-(VLOOKUP(C161,'Non-medicinal details'!$A$1:$E$12,5,FALSE)*D161)</f>
        <v>10</v>
      </c>
    </row>
    <row r="162" spans="1:8" x14ac:dyDescent="0.3">
      <c r="A162" s="9">
        <v>45811</v>
      </c>
      <c r="B162" s="9" t="str">
        <f t="shared" si="4"/>
        <v>Tuesday</v>
      </c>
      <c r="C162" s="2" t="s">
        <v>39</v>
      </c>
      <c r="D162" s="2">
        <v>0</v>
      </c>
      <c r="E162">
        <f>VLOOKUP(C162,'Non-medicinal details'!$A$1:$E$12,4,FALSE)</f>
        <v>35</v>
      </c>
      <c r="F162">
        <f t="shared" si="5"/>
        <v>0</v>
      </c>
      <c r="G162" t="str">
        <f>VLOOKUP(C162,'Non-medicinal details'!$A$1:$E$12,3,FALSE)</f>
        <v>Skin Care</v>
      </c>
      <c r="H162">
        <f>F162-(VLOOKUP(C162,'Non-medicinal details'!$A$1:$E$12,5,FALSE)*D162)</f>
        <v>0</v>
      </c>
    </row>
    <row r="163" spans="1:8" x14ac:dyDescent="0.3">
      <c r="A163" s="9">
        <v>45811</v>
      </c>
      <c r="B163" s="9" t="str">
        <f t="shared" si="4"/>
        <v>Tuesday</v>
      </c>
      <c r="C163" s="2" t="s">
        <v>40</v>
      </c>
      <c r="D163" s="2">
        <v>0</v>
      </c>
      <c r="E163">
        <f>VLOOKUP(C163,'Non-medicinal details'!$A$1:$E$12,4,FALSE)</f>
        <v>60</v>
      </c>
      <c r="F163">
        <f t="shared" si="5"/>
        <v>0</v>
      </c>
      <c r="G163" t="str">
        <f>VLOOKUP(C163,'Non-medicinal details'!$A$1:$E$12,3,FALSE)</f>
        <v>Baby and Child Care</v>
      </c>
      <c r="H163">
        <f>F163-(VLOOKUP(C163,'Non-medicinal details'!$A$1:$E$12,5,FALSE)*D163)</f>
        <v>0</v>
      </c>
    </row>
    <row r="164" spans="1:8" x14ac:dyDescent="0.3">
      <c r="A164" s="9">
        <v>45811</v>
      </c>
      <c r="B164" s="9" t="str">
        <f t="shared" si="4"/>
        <v>Tuesday</v>
      </c>
      <c r="C164" s="2" t="s">
        <v>41</v>
      </c>
      <c r="D164" s="2">
        <v>0</v>
      </c>
      <c r="E164">
        <f>VLOOKUP(C164,'Non-medicinal details'!$A$1:$E$12,4,FALSE)</f>
        <v>120</v>
      </c>
      <c r="F164">
        <f t="shared" si="5"/>
        <v>0</v>
      </c>
      <c r="G164" t="str">
        <f>VLOOKUP(C164,'Non-medicinal details'!$A$1:$E$12,3,FALSE)</f>
        <v>Baby and Child Care</v>
      </c>
      <c r="H164">
        <f>F164-(VLOOKUP(C164,'Non-medicinal details'!$A$1:$E$12,5,FALSE)*D164)</f>
        <v>0</v>
      </c>
    </row>
    <row r="165" spans="1:8" x14ac:dyDescent="0.3">
      <c r="A165" s="9">
        <v>45811</v>
      </c>
      <c r="B165" s="9" t="str">
        <f t="shared" si="4"/>
        <v>Tuesday</v>
      </c>
      <c r="C165" s="2" t="s">
        <v>42</v>
      </c>
      <c r="D165" s="2">
        <v>2</v>
      </c>
      <c r="E165">
        <f>VLOOKUP(C165,'Non-medicinal details'!$A$1:$E$12,4,FALSE)</f>
        <v>50</v>
      </c>
      <c r="F165">
        <f t="shared" si="5"/>
        <v>100</v>
      </c>
      <c r="G165" t="str">
        <f>VLOOKUP(C165,'Non-medicinal details'!$A$1:$E$12,3,FALSE)</f>
        <v>Hygiene</v>
      </c>
      <c r="H165">
        <f>F165-(VLOOKUP(C165,'Non-medicinal details'!$A$1:$E$12,5,FALSE)*D165)</f>
        <v>24</v>
      </c>
    </row>
    <row r="166" spans="1:8" x14ac:dyDescent="0.3">
      <c r="A166" s="9">
        <v>45811</v>
      </c>
      <c r="B166" s="9" t="str">
        <f t="shared" si="4"/>
        <v>Tuesday</v>
      </c>
      <c r="C166" s="2" t="s">
        <v>43</v>
      </c>
      <c r="D166" s="2">
        <v>0</v>
      </c>
      <c r="E166">
        <f>VLOOKUP(C166,'Non-medicinal details'!$A$1:$E$12,4,FALSE)</f>
        <v>250</v>
      </c>
      <c r="F166">
        <f t="shared" si="5"/>
        <v>0</v>
      </c>
      <c r="G166" t="str">
        <f>VLOOKUP(C166,'Non-medicinal details'!$A$1:$E$12,3,FALSE)</f>
        <v>Nutritional powders</v>
      </c>
      <c r="H166">
        <f>F166-(VLOOKUP(C166,'Non-medicinal details'!$A$1:$E$12,5,FALSE)*D166)</f>
        <v>0</v>
      </c>
    </row>
    <row r="167" spans="1:8" x14ac:dyDescent="0.3">
      <c r="A167" s="9">
        <v>45811</v>
      </c>
      <c r="B167" s="9" t="str">
        <f t="shared" si="4"/>
        <v>Tuesday</v>
      </c>
      <c r="C167" s="2" t="s">
        <v>44</v>
      </c>
      <c r="D167" s="2">
        <v>0</v>
      </c>
      <c r="E167">
        <f>VLOOKUP(C167,'Non-medicinal details'!$A$1:$E$12,4,FALSE)</f>
        <v>249</v>
      </c>
      <c r="F167">
        <f t="shared" si="5"/>
        <v>0</v>
      </c>
      <c r="G167" t="str">
        <f>VLOOKUP(C167,'Non-medicinal details'!$A$1:$E$12,3,FALSE)</f>
        <v>Nutritional powders</v>
      </c>
      <c r="H167">
        <f>F167-(VLOOKUP(C167,'Non-medicinal details'!$A$1:$E$12,5,FALSE)*D167)</f>
        <v>0</v>
      </c>
    </row>
    <row r="168" spans="1:8" x14ac:dyDescent="0.3">
      <c r="A168" s="9">
        <v>45812</v>
      </c>
      <c r="B168" s="9" t="str">
        <f t="shared" si="4"/>
        <v>Wednesday</v>
      </c>
      <c r="C168" s="2" t="s">
        <v>33</v>
      </c>
      <c r="D168" s="2">
        <v>0</v>
      </c>
      <c r="E168">
        <f>VLOOKUP(C168,'Non-medicinal details'!$A$1:$E$12,4,FALSE)</f>
        <v>520</v>
      </c>
      <c r="F168">
        <f t="shared" si="5"/>
        <v>0</v>
      </c>
      <c r="G168" t="str">
        <f>VLOOKUP(C168,'Non-medicinal details'!$A$1:$E$12,3,FALSE)</f>
        <v>Hair Care</v>
      </c>
      <c r="H168">
        <f>F168-(VLOOKUP(C168,'Non-medicinal details'!$A$1:$E$12,5,FALSE)*D168)</f>
        <v>0</v>
      </c>
    </row>
    <row r="169" spans="1:8" x14ac:dyDescent="0.3">
      <c r="A169" s="9">
        <v>45812</v>
      </c>
      <c r="B169" s="9" t="str">
        <f t="shared" si="4"/>
        <v>Wednesday</v>
      </c>
      <c r="C169" s="2" t="s">
        <v>34</v>
      </c>
      <c r="D169" s="2">
        <v>1</v>
      </c>
      <c r="E169">
        <f>VLOOKUP(C169,'Non-medicinal details'!$A$1:$E$12,4,FALSE)</f>
        <v>248</v>
      </c>
      <c r="F169">
        <f t="shared" si="5"/>
        <v>248</v>
      </c>
      <c r="G169" t="str">
        <f>VLOOKUP(C169,'Non-medicinal details'!$A$1:$E$12,3,FALSE)</f>
        <v>Hair Care</v>
      </c>
      <c r="H169">
        <f>F169-(VLOOKUP(C169,'Non-medicinal details'!$A$1:$E$12,5,FALSE)*D169)</f>
        <v>88</v>
      </c>
    </row>
    <row r="170" spans="1:8" x14ac:dyDescent="0.3">
      <c r="A170" s="9">
        <v>45812</v>
      </c>
      <c r="B170" s="9" t="str">
        <f t="shared" si="4"/>
        <v>Wednesday</v>
      </c>
      <c r="C170" s="2" t="s">
        <v>35</v>
      </c>
      <c r="D170" s="2">
        <v>0</v>
      </c>
      <c r="E170">
        <f>VLOOKUP(C170,'Non-medicinal details'!$A$1:$E$12,4,FALSE)</f>
        <v>200</v>
      </c>
      <c r="F170">
        <f t="shared" si="5"/>
        <v>0</v>
      </c>
      <c r="G170" t="str">
        <f>VLOOKUP(C170,'Non-medicinal details'!$A$1:$E$12,3,FALSE)</f>
        <v>Oral Care</v>
      </c>
      <c r="H170">
        <f>F170-(VLOOKUP(C170,'Non-medicinal details'!$A$1:$E$12,5,FALSE)*D170)</f>
        <v>0</v>
      </c>
    </row>
    <row r="171" spans="1:8" x14ac:dyDescent="0.3">
      <c r="A171" s="9">
        <v>45812</v>
      </c>
      <c r="B171" s="9" t="str">
        <f t="shared" si="4"/>
        <v>Wednesday</v>
      </c>
      <c r="C171" s="2" t="s">
        <v>37</v>
      </c>
      <c r="D171" s="2">
        <v>0</v>
      </c>
      <c r="E171">
        <f>VLOOKUP(C171,'Non-medicinal details'!$A$1:$E$12,4,FALSE)</f>
        <v>46</v>
      </c>
      <c r="F171">
        <f t="shared" si="5"/>
        <v>0</v>
      </c>
      <c r="G171" t="str">
        <f>VLOOKUP(C171,'Non-medicinal details'!$A$1:$E$12,3,FALSE)</f>
        <v>Oral Care</v>
      </c>
      <c r="H171">
        <f>F171-(VLOOKUP(C171,'Non-medicinal details'!$A$1:$E$12,5,FALSE)*D171)</f>
        <v>0</v>
      </c>
    </row>
    <row r="172" spans="1:8" x14ac:dyDescent="0.3">
      <c r="A172" s="9">
        <v>45812</v>
      </c>
      <c r="B172" s="9" t="str">
        <f t="shared" si="4"/>
        <v>Wednesday</v>
      </c>
      <c r="C172" s="2" t="s">
        <v>38</v>
      </c>
      <c r="D172" s="2">
        <v>0</v>
      </c>
      <c r="E172">
        <f>VLOOKUP(C172,'Non-medicinal details'!$A$1:$E$12,4,FALSE)</f>
        <v>95</v>
      </c>
      <c r="F172">
        <f t="shared" si="5"/>
        <v>0</v>
      </c>
      <c r="G172" t="str">
        <f>VLOOKUP(C172,'Non-medicinal details'!$A$1:$E$12,3,FALSE)</f>
        <v>Skin Care</v>
      </c>
      <c r="H172">
        <f>F172-(VLOOKUP(C172,'Non-medicinal details'!$A$1:$E$12,5,FALSE)*D172)</f>
        <v>0</v>
      </c>
    </row>
    <row r="173" spans="1:8" x14ac:dyDescent="0.3">
      <c r="A173" s="9">
        <v>45812</v>
      </c>
      <c r="B173" s="9" t="str">
        <f t="shared" si="4"/>
        <v>Wednesday</v>
      </c>
      <c r="C173" s="2" t="s">
        <v>39</v>
      </c>
      <c r="D173" s="2">
        <v>0</v>
      </c>
      <c r="E173">
        <f>VLOOKUP(C173,'Non-medicinal details'!$A$1:$E$12,4,FALSE)</f>
        <v>35</v>
      </c>
      <c r="F173">
        <f t="shared" si="5"/>
        <v>0</v>
      </c>
      <c r="G173" t="str">
        <f>VLOOKUP(C173,'Non-medicinal details'!$A$1:$E$12,3,FALSE)</f>
        <v>Skin Care</v>
      </c>
      <c r="H173">
        <f>F173-(VLOOKUP(C173,'Non-medicinal details'!$A$1:$E$12,5,FALSE)*D173)</f>
        <v>0</v>
      </c>
    </row>
    <row r="174" spans="1:8" x14ac:dyDescent="0.3">
      <c r="A174" s="9">
        <v>45812</v>
      </c>
      <c r="B174" s="9" t="str">
        <f t="shared" si="4"/>
        <v>Wednesday</v>
      </c>
      <c r="C174" s="2" t="s">
        <v>40</v>
      </c>
      <c r="D174" s="2">
        <v>0</v>
      </c>
      <c r="E174">
        <f>VLOOKUP(C174,'Non-medicinal details'!$A$1:$E$12,4,FALSE)</f>
        <v>60</v>
      </c>
      <c r="F174">
        <f t="shared" si="5"/>
        <v>0</v>
      </c>
      <c r="G174" t="str">
        <f>VLOOKUP(C174,'Non-medicinal details'!$A$1:$E$12,3,FALSE)</f>
        <v>Baby and Child Care</v>
      </c>
      <c r="H174">
        <f>F174-(VLOOKUP(C174,'Non-medicinal details'!$A$1:$E$12,5,FALSE)*D174)</f>
        <v>0</v>
      </c>
    </row>
    <row r="175" spans="1:8" x14ac:dyDescent="0.3">
      <c r="A175" s="9">
        <v>45812</v>
      </c>
      <c r="B175" s="9" t="str">
        <f t="shared" si="4"/>
        <v>Wednesday</v>
      </c>
      <c r="C175" s="2" t="s">
        <v>41</v>
      </c>
      <c r="D175" s="2">
        <v>0</v>
      </c>
      <c r="E175">
        <f>VLOOKUP(C175,'Non-medicinal details'!$A$1:$E$12,4,FALSE)</f>
        <v>120</v>
      </c>
      <c r="F175">
        <f t="shared" si="5"/>
        <v>0</v>
      </c>
      <c r="G175" t="str">
        <f>VLOOKUP(C175,'Non-medicinal details'!$A$1:$E$12,3,FALSE)</f>
        <v>Baby and Child Care</v>
      </c>
      <c r="H175">
        <f>F175-(VLOOKUP(C175,'Non-medicinal details'!$A$1:$E$12,5,FALSE)*D175)</f>
        <v>0</v>
      </c>
    </row>
    <row r="176" spans="1:8" x14ac:dyDescent="0.3">
      <c r="A176" s="9">
        <v>45812</v>
      </c>
      <c r="B176" s="9" t="str">
        <f t="shared" si="4"/>
        <v>Wednesday</v>
      </c>
      <c r="C176" s="2" t="s">
        <v>42</v>
      </c>
      <c r="D176" s="2">
        <v>2</v>
      </c>
      <c r="E176">
        <f>VLOOKUP(C176,'Non-medicinal details'!$A$1:$E$12,4,FALSE)</f>
        <v>50</v>
      </c>
      <c r="F176">
        <f t="shared" si="5"/>
        <v>100</v>
      </c>
      <c r="G176" t="str">
        <f>VLOOKUP(C176,'Non-medicinal details'!$A$1:$E$12,3,FALSE)</f>
        <v>Hygiene</v>
      </c>
      <c r="H176">
        <f>F176-(VLOOKUP(C176,'Non-medicinal details'!$A$1:$E$12,5,FALSE)*D176)</f>
        <v>24</v>
      </c>
    </row>
    <row r="177" spans="1:8" x14ac:dyDescent="0.3">
      <c r="A177" s="9">
        <v>45812</v>
      </c>
      <c r="B177" s="9" t="str">
        <f t="shared" si="4"/>
        <v>Wednesday</v>
      </c>
      <c r="C177" s="2" t="s">
        <v>43</v>
      </c>
      <c r="D177" s="2">
        <v>0</v>
      </c>
      <c r="E177">
        <f>VLOOKUP(C177,'Non-medicinal details'!$A$1:$E$12,4,FALSE)</f>
        <v>250</v>
      </c>
      <c r="F177">
        <f t="shared" si="5"/>
        <v>0</v>
      </c>
      <c r="G177" t="str">
        <f>VLOOKUP(C177,'Non-medicinal details'!$A$1:$E$12,3,FALSE)</f>
        <v>Nutritional powders</v>
      </c>
      <c r="H177">
        <f>F177-(VLOOKUP(C177,'Non-medicinal details'!$A$1:$E$12,5,FALSE)*D177)</f>
        <v>0</v>
      </c>
    </row>
    <row r="178" spans="1:8" x14ac:dyDescent="0.3">
      <c r="A178" s="9">
        <v>45812</v>
      </c>
      <c r="B178" s="9" t="str">
        <f t="shared" si="4"/>
        <v>Wednesday</v>
      </c>
      <c r="C178" s="2" t="s">
        <v>44</v>
      </c>
      <c r="D178" s="2">
        <v>0</v>
      </c>
      <c r="E178">
        <f>VLOOKUP(C178,'Non-medicinal details'!$A$1:$E$12,4,FALSE)</f>
        <v>249</v>
      </c>
      <c r="F178">
        <f t="shared" si="5"/>
        <v>0</v>
      </c>
      <c r="G178" t="str">
        <f>VLOOKUP(C178,'Non-medicinal details'!$A$1:$E$12,3,FALSE)</f>
        <v>Nutritional powders</v>
      </c>
      <c r="H178">
        <f>F178-(VLOOKUP(C178,'Non-medicinal details'!$A$1:$E$12,5,FALSE)*D178)</f>
        <v>0</v>
      </c>
    </row>
    <row r="179" spans="1:8" x14ac:dyDescent="0.3">
      <c r="A179" s="9">
        <v>45813</v>
      </c>
      <c r="B179" s="9" t="str">
        <f t="shared" si="4"/>
        <v>Thursday</v>
      </c>
      <c r="C179" s="2" t="s">
        <v>33</v>
      </c>
      <c r="D179" s="2">
        <v>0</v>
      </c>
      <c r="E179">
        <f>VLOOKUP(C179,'Non-medicinal details'!$A$1:$E$12,4,FALSE)</f>
        <v>520</v>
      </c>
      <c r="F179">
        <f t="shared" si="5"/>
        <v>0</v>
      </c>
      <c r="G179" t="str">
        <f>VLOOKUP(C179,'Non-medicinal details'!$A$1:$E$12,3,FALSE)</f>
        <v>Hair Care</v>
      </c>
      <c r="H179">
        <f>F179-(VLOOKUP(C179,'Non-medicinal details'!$A$1:$E$12,5,FALSE)*D179)</f>
        <v>0</v>
      </c>
    </row>
    <row r="180" spans="1:8" x14ac:dyDescent="0.3">
      <c r="A180" s="9">
        <v>45813</v>
      </c>
      <c r="B180" s="9" t="str">
        <f t="shared" si="4"/>
        <v>Thursday</v>
      </c>
      <c r="C180" s="2" t="s">
        <v>34</v>
      </c>
      <c r="D180" s="2">
        <v>0</v>
      </c>
      <c r="E180">
        <f>VLOOKUP(C180,'Non-medicinal details'!$A$1:$E$12,4,FALSE)</f>
        <v>248</v>
      </c>
      <c r="F180">
        <f t="shared" si="5"/>
        <v>0</v>
      </c>
      <c r="G180" t="str">
        <f>VLOOKUP(C180,'Non-medicinal details'!$A$1:$E$12,3,FALSE)</f>
        <v>Hair Care</v>
      </c>
      <c r="H180">
        <f>F180-(VLOOKUP(C180,'Non-medicinal details'!$A$1:$E$12,5,FALSE)*D180)</f>
        <v>0</v>
      </c>
    </row>
    <row r="181" spans="1:8" x14ac:dyDescent="0.3">
      <c r="A181" s="9">
        <v>45813</v>
      </c>
      <c r="B181" s="9" t="str">
        <f t="shared" si="4"/>
        <v>Thursday</v>
      </c>
      <c r="C181" s="2" t="s">
        <v>35</v>
      </c>
      <c r="D181" s="2">
        <v>0</v>
      </c>
      <c r="E181">
        <f>VLOOKUP(C181,'Non-medicinal details'!$A$1:$E$12,4,FALSE)</f>
        <v>200</v>
      </c>
      <c r="F181">
        <f t="shared" si="5"/>
        <v>0</v>
      </c>
      <c r="G181" t="str">
        <f>VLOOKUP(C181,'Non-medicinal details'!$A$1:$E$12,3,FALSE)</f>
        <v>Oral Care</v>
      </c>
      <c r="H181">
        <f>F181-(VLOOKUP(C181,'Non-medicinal details'!$A$1:$E$12,5,FALSE)*D181)</f>
        <v>0</v>
      </c>
    </row>
    <row r="182" spans="1:8" x14ac:dyDescent="0.3">
      <c r="A182" s="9">
        <v>45813</v>
      </c>
      <c r="B182" s="9" t="str">
        <f t="shared" si="4"/>
        <v>Thursday</v>
      </c>
      <c r="C182" s="2" t="s">
        <v>37</v>
      </c>
      <c r="D182" s="2">
        <v>0</v>
      </c>
      <c r="E182">
        <f>VLOOKUP(C182,'Non-medicinal details'!$A$1:$E$12,4,FALSE)</f>
        <v>46</v>
      </c>
      <c r="F182">
        <f t="shared" si="5"/>
        <v>0</v>
      </c>
      <c r="G182" t="str">
        <f>VLOOKUP(C182,'Non-medicinal details'!$A$1:$E$12,3,FALSE)</f>
        <v>Oral Care</v>
      </c>
      <c r="H182">
        <f>F182-(VLOOKUP(C182,'Non-medicinal details'!$A$1:$E$12,5,FALSE)*D182)</f>
        <v>0</v>
      </c>
    </row>
    <row r="183" spans="1:8" x14ac:dyDescent="0.3">
      <c r="A183" s="9">
        <v>45813</v>
      </c>
      <c r="B183" s="9" t="str">
        <f t="shared" si="4"/>
        <v>Thursday</v>
      </c>
      <c r="C183" s="2" t="s">
        <v>38</v>
      </c>
      <c r="D183" s="2">
        <v>0</v>
      </c>
      <c r="E183">
        <f>VLOOKUP(C183,'Non-medicinal details'!$A$1:$E$12,4,FALSE)</f>
        <v>95</v>
      </c>
      <c r="F183">
        <f t="shared" si="5"/>
        <v>0</v>
      </c>
      <c r="G183" t="str">
        <f>VLOOKUP(C183,'Non-medicinal details'!$A$1:$E$12,3,FALSE)</f>
        <v>Skin Care</v>
      </c>
      <c r="H183">
        <f>F183-(VLOOKUP(C183,'Non-medicinal details'!$A$1:$E$12,5,FALSE)*D183)</f>
        <v>0</v>
      </c>
    </row>
    <row r="184" spans="1:8" x14ac:dyDescent="0.3">
      <c r="A184" s="9">
        <v>45813</v>
      </c>
      <c r="B184" s="9" t="str">
        <f t="shared" si="4"/>
        <v>Thursday</v>
      </c>
      <c r="C184" s="2" t="s">
        <v>39</v>
      </c>
      <c r="D184" s="2">
        <v>0</v>
      </c>
      <c r="E184">
        <f>VLOOKUP(C184,'Non-medicinal details'!$A$1:$E$12,4,FALSE)</f>
        <v>35</v>
      </c>
      <c r="F184">
        <f t="shared" si="5"/>
        <v>0</v>
      </c>
      <c r="G184" t="str">
        <f>VLOOKUP(C184,'Non-medicinal details'!$A$1:$E$12,3,FALSE)</f>
        <v>Skin Care</v>
      </c>
      <c r="H184">
        <f>F184-(VLOOKUP(C184,'Non-medicinal details'!$A$1:$E$12,5,FALSE)*D184)</f>
        <v>0</v>
      </c>
    </row>
    <row r="185" spans="1:8" x14ac:dyDescent="0.3">
      <c r="A185" s="9">
        <v>45813</v>
      </c>
      <c r="B185" s="9" t="str">
        <f t="shared" si="4"/>
        <v>Thursday</v>
      </c>
      <c r="C185" s="2" t="s">
        <v>40</v>
      </c>
      <c r="D185" s="2">
        <v>2</v>
      </c>
      <c r="E185">
        <f>VLOOKUP(C185,'Non-medicinal details'!$A$1:$E$12,4,FALSE)</f>
        <v>60</v>
      </c>
      <c r="F185">
        <f t="shared" si="5"/>
        <v>120</v>
      </c>
      <c r="G185" t="str">
        <f>VLOOKUP(C185,'Non-medicinal details'!$A$1:$E$12,3,FALSE)</f>
        <v>Baby and Child Care</v>
      </c>
      <c r="H185">
        <f>F185-(VLOOKUP(C185,'Non-medicinal details'!$A$1:$E$12,5,FALSE)*D185)</f>
        <v>40</v>
      </c>
    </row>
    <row r="186" spans="1:8" x14ac:dyDescent="0.3">
      <c r="A186" s="9">
        <v>45813</v>
      </c>
      <c r="B186" s="9" t="str">
        <f t="shared" si="4"/>
        <v>Thursday</v>
      </c>
      <c r="C186" s="2" t="s">
        <v>41</v>
      </c>
      <c r="D186" s="2">
        <v>0</v>
      </c>
      <c r="E186">
        <f>VLOOKUP(C186,'Non-medicinal details'!$A$1:$E$12,4,FALSE)</f>
        <v>120</v>
      </c>
      <c r="F186">
        <f t="shared" si="5"/>
        <v>0</v>
      </c>
      <c r="G186" t="str">
        <f>VLOOKUP(C186,'Non-medicinal details'!$A$1:$E$12,3,FALSE)</f>
        <v>Baby and Child Care</v>
      </c>
      <c r="H186">
        <f>F186-(VLOOKUP(C186,'Non-medicinal details'!$A$1:$E$12,5,FALSE)*D186)</f>
        <v>0</v>
      </c>
    </row>
    <row r="187" spans="1:8" x14ac:dyDescent="0.3">
      <c r="A187" s="9">
        <v>45813</v>
      </c>
      <c r="B187" s="9" t="str">
        <f t="shared" si="4"/>
        <v>Thursday</v>
      </c>
      <c r="C187" s="2" t="s">
        <v>42</v>
      </c>
      <c r="D187" s="2">
        <v>0</v>
      </c>
      <c r="E187">
        <f>VLOOKUP(C187,'Non-medicinal details'!$A$1:$E$12,4,FALSE)</f>
        <v>50</v>
      </c>
      <c r="F187">
        <f t="shared" si="5"/>
        <v>0</v>
      </c>
      <c r="G187" t="str">
        <f>VLOOKUP(C187,'Non-medicinal details'!$A$1:$E$12,3,FALSE)</f>
        <v>Hygiene</v>
      </c>
      <c r="H187">
        <f>F187-(VLOOKUP(C187,'Non-medicinal details'!$A$1:$E$12,5,FALSE)*D187)</f>
        <v>0</v>
      </c>
    </row>
    <row r="188" spans="1:8" x14ac:dyDescent="0.3">
      <c r="A188" s="9">
        <v>45813</v>
      </c>
      <c r="B188" s="9" t="str">
        <f t="shared" si="4"/>
        <v>Thursday</v>
      </c>
      <c r="C188" s="2" t="s">
        <v>43</v>
      </c>
      <c r="D188" s="2">
        <v>0</v>
      </c>
      <c r="E188">
        <f>VLOOKUP(C188,'Non-medicinal details'!$A$1:$E$12,4,FALSE)</f>
        <v>250</v>
      </c>
      <c r="F188">
        <f t="shared" si="5"/>
        <v>0</v>
      </c>
      <c r="G188" t="str">
        <f>VLOOKUP(C188,'Non-medicinal details'!$A$1:$E$12,3,FALSE)</f>
        <v>Nutritional powders</v>
      </c>
      <c r="H188">
        <f>F188-(VLOOKUP(C188,'Non-medicinal details'!$A$1:$E$12,5,FALSE)*D188)</f>
        <v>0</v>
      </c>
    </row>
    <row r="189" spans="1:8" x14ac:dyDescent="0.3">
      <c r="A189" s="9">
        <v>45813</v>
      </c>
      <c r="B189" s="9" t="str">
        <f t="shared" si="4"/>
        <v>Thursday</v>
      </c>
      <c r="C189" s="2" t="s">
        <v>44</v>
      </c>
      <c r="D189" s="2">
        <v>1</v>
      </c>
      <c r="E189">
        <f>VLOOKUP(C189,'Non-medicinal details'!$A$1:$E$12,4,FALSE)</f>
        <v>249</v>
      </c>
      <c r="F189">
        <f t="shared" si="5"/>
        <v>249</v>
      </c>
      <c r="G189" t="str">
        <f>VLOOKUP(C189,'Non-medicinal details'!$A$1:$E$12,3,FALSE)</f>
        <v>Nutritional powders</v>
      </c>
      <c r="H189">
        <f>F189-(VLOOKUP(C189,'Non-medicinal details'!$A$1:$E$12,5,FALSE)*D189)</f>
        <v>49</v>
      </c>
    </row>
    <row r="190" spans="1:8" x14ac:dyDescent="0.3">
      <c r="A190" s="9">
        <v>45814</v>
      </c>
      <c r="B190" s="9" t="str">
        <f t="shared" si="4"/>
        <v>Friday</v>
      </c>
      <c r="C190" s="2" t="s">
        <v>33</v>
      </c>
      <c r="D190" s="2">
        <v>0</v>
      </c>
      <c r="E190">
        <f>VLOOKUP(C190,'Non-medicinal details'!$A$1:$E$12,4,FALSE)</f>
        <v>520</v>
      </c>
      <c r="F190">
        <f t="shared" si="5"/>
        <v>0</v>
      </c>
      <c r="G190" t="str">
        <f>VLOOKUP(C190,'Non-medicinal details'!$A$1:$E$12,3,FALSE)</f>
        <v>Hair Care</v>
      </c>
      <c r="H190">
        <f>F190-(VLOOKUP(C190,'Non-medicinal details'!$A$1:$E$12,5,FALSE)*D190)</f>
        <v>0</v>
      </c>
    </row>
    <row r="191" spans="1:8" x14ac:dyDescent="0.3">
      <c r="A191" s="9">
        <v>45814</v>
      </c>
      <c r="B191" s="9" t="str">
        <f t="shared" si="4"/>
        <v>Friday</v>
      </c>
      <c r="C191" s="2" t="s">
        <v>34</v>
      </c>
      <c r="D191" s="2">
        <v>0</v>
      </c>
      <c r="E191">
        <f>VLOOKUP(C191,'Non-medicinal details'!$A$1:$E$12,4,FALSE)</f>
        <v>248</v>
      </c>
      <c r="F191">
        <f t="shared" si="5"/>
        <v>0</v>
      </c>
      <c r="G191" t="str">
        <f>VLOOKUP(C191,'Non-medicinal details'!$A$1:$E$12,3,FALSE)</f>
        <v>Hair Care</v>
      </c>
      <c r="H191">
        <f>F191-(VLOOKUP(C191,'Non-medicinal details'!$A$1:$E$12,5,FALSE)*D191)</f>
        <v>0</v>
      </c>
    </row>
    <row r="192" spans="1:8" x14ac:dyDescent="0.3">
      <c r="A192" s="9">
        <v>45814</v>
      </c>
      <c r="B192" s="9" t="str">
        <f t="shared" si="4"/>
        <v>Friday</v>
      </c>
      <c r="C192" s="2" t="s">
        <v>35</v>
      </c>
      <c r="D192" s="2">
        <v>0</v>
      </c>
      <c r="E192">
        <f>VLOOKUP(C192,'Non-medicinal details'!$A$1:$E$12,4,FALSE)</f>
        <v>200</v>
      </c>
      <c r="F192">
        <f t="shared" si="5"/>
        <v>0</v>
      </c>
      <c r="G192" t="str">
        <f>VLOOKUP(C192,'Non-medicinal details'!$A$1:$E$12,3,FALSE)</f>
        <v>Oral Care</v>
      </c>
      <c r="H192">
        <f>F192-(VLOOKUP(C192,'Non-medicinal details'!$A$1:$E$12,5,FALSE)*D192)</f>
        <v>0</v>
      </c>
    </row>
    <row r="193" spans="1:8" x14ac:dyDescent="0.3">
      <c r="A193" s="9">
        <v>45814</v>
      </c>
      <c r="B193" s="9" t="str">
        <f t="shared" si="4"/>
        <v>Friday</v>
      </c>
      <c r="C193" s="2" t="s">
        <v>37</v>
      </c>
      <c r="D193" s="2">
        <v>1</v>
      </c>
      <c r="E193">
        <f>VLOOKUP(C193,'Non-medicinal details'!$A$1:$E$12,4,FALSE)</f>
        <v>46</v>
      </c>
      <c r="F193">
        <f t="shared" si="5"/>
        <v>46</v>
      </c>
      <c r="G193" t="str">
        <f>VLOOKUP(C193,'Non-medicinal details'!$A$1:$E$12,3,FALSE)</f>
        <v>Oral Care</v>
      </c>
      <c r="H193">
        <f>F193-(VLOOKUP(C193,'Non-medicinal details'!$A$1:$E$12,5,FALSE)*D193)</f>
        <v>16</v>
      </c>
    </row>
    <row r="194" spans="1:8" x14ac:dyDescent="0.3">
      <c r="A194" s="9">
        <v>45814</v>
      </c>
      <c r="B194" s="9" t="str">
        <f t="shared" si="4"/>
        <v>Friday</v>
      </c>
      <c r="C194" s="2" t="s">
        <v>38</v>
      </c>
      <c r="D194" s="2">
        <v>1</v>
      </c>
      <c r="E194">
        <f>VLOOKUP(C194,'Non-medicinal details'!$A$1:$E$12,4,FALSE)</f>
        <v>95</v>
      </c>
      <c r="F194">
        <f t="shared" si="5"/>
        <v>95</v>
      </c>
      <c r="G194" t="str">
        <f>VLOOKUP(C194,'Non-medicinal details'!$A$1:$E$12,3,FALSE)</f>
        <v>Skin Care</v>
      </c>
      <c r="H194">
        <f>F194-(VLOOKUP(C194,'Non-medicinal details'!$A$1:$E$12,5,FALSE)*D194)</f>
        <v>10</v>
      </c>
    </row>
    <row r="195" spans="1:8" x14ac:dyDescent="0.3">
      <c r="A195" s="9">
        <v>45814</v>
      </c>
      <c r="B195" s="9" t="str">
        <f t="shared" si="4"/>
        <v>Friday</v>
      </c>
      <c r="C195" s="2" t="s">
        <v>39</v>
      </c>
      <c r="D195" s="2">
        <v>0</v>
      </c>
      <c r="E195">
        <f>VLOOKUP(C195,'Non-medicinal details'!$A$1:$E$12,4,FALSE)</f>
        <v>35</v>
      </c>
      <c r="F195">
        <f t="shared" si="5"/>
        <v>0</v>
      </c>
      <c r="G195" t="str">
        <f>VLOOKUP(C195,'Non-medicinal details'!$A$1:$E$12,3,FALSE)</f>
        <v>Skin Care</v>
      </c>
      <c r="H195">
        <f>F195-(VLOOKUP(C195,'Non-medicinal details'!$A$1:$E$12,5,FALSE)*D195)</f>
        <v>0</v>
      </c>
    </row>
    <row r="196" spans="1:8" x14ac:dyDescent="0.3">
      <c r="A196" s="9">
        <v>45814</v>
      </c>
      <c r="B196" s="9" t="str">
        <f t="shared" ref="B196:B259" si="6">TEXT(A196,"dddd")</f>
        <v>Friday</v>
      </c>
      <c r="C196" s="2" t="s">
        <v>40</v>
      </c>
      <c r="D196" s="2">
        <v>1</v>
      </c>
      <c r="E196">
        <f>VLOOKUP(C196,'Non-medicinal details'!$A$1:$E$12,4,FALSE)</f>
        <v>60</v>
      </c>
      <c r="F196">
        <f t="shared" ref="F196:F259" si="7">D196*E196</f>
        <v>60</v>
      </c>
      <c r="G196" t="str">
        <f>VLOOKUP(C196,'Non-medicinal details'!$A$1:$E$12,3,FALSE)</f>
        <v>Baby and Child Care</v>
      </c>
      <c r="H196">
        <f>F196-(VLOOKUP(C196,'Non-medicinal details'!$A$1:$E$12,5,FALSE)*D196)</f>
        <v>20</v>
      </c>
    </row>
    <row r="197" spans="1:8" x14ac:dyDescent="0.3">
      <c r="A197" s="9">
        <v>45814</v>
      </c>
      <c r="B197" s="9" t="str">
        <f t="shared" si="6"/>
        <v>Friday</v>
      </c>
      <c r="C197" s="2" t="s">
        <v>41</v>
      </c>
      <c r="D197" s="2">
        <v>1</v>
      </c>
      <c r="E197">
        <f>VLOOKUP(C197,'Non-medicinal details'!$A$1:$E$12,4,FALSE)</f>
        <v>120</v>
      </c>
      <c r="F197">
        <f t="shared" si="7"/>
        <v>120</v>
      </c>
      <c r="G197" t="str">
        <f>VLOOKUP(C197,'Non-medicinal details'!$A$1:$E$12,3,FALSE)</f>
        <v>Baby and Child Care</v>
      </c>
      <c r="H197">
        <f>F197-(VLOOKUP(C197,'Non-medicinal details'!$A$1:$E$12,5,FALSE)*D197)</f>
        <v>10</v>
      </c>
    </row>
    <row r="198" spans="1:8" x14ac:dyDescent="0.3">
      <c r="A198" s="9">
        <v>45814</v>
      </c>
      <c r="B198" s="9" t="str">
        <f t="shared" si="6"/>
        <v>Friday</v>
      </c>
      <c r="C198" s="2" t="s">
        <v>42</v>
      </c>
      <c r="D198" s="2">
        <v>2</v>
      </c>
      <c r="E198">
        <f>VLOOKUP(C198,'Non-medicinal details'!$A$1:$E$12,4,FALSE)</f>
        <v>50</v>
      </c>
      <c r="F198">
        <f t="shared" si="7"/>
        <v>100</v>
      </c>
      <c r="G198" t="str">
        <f>VLOOKUP(C198,'Non-medicinal details'!$A$1:$E$12,3,FALSE)</f>
        <v>Hygiene</v>
      </c>
      <c r="H198">
        <f>F198-(VLOOKUP(C198,'Non-medicinal details'!$A$1:$E$12,5,FALSE)*D198)</f>
        <v>24</v>
      </c>
    </row>
    <row r="199" spans="1:8" x14ac:dyDescent="0.3">
      <c r="A199" s="9">
        <v>45814</v>
      </c>
      <c r="B199" s="9" t="str">
        <f t="shared" si="6"/>
        <v>Friday</v>
      </c>
      <c r="C199" s="2" t="s">
        <v>43</v>
      </c>
      <c r="D199" s="2">
        <v>1</v>
      </c>
      <c r="E199">
        <f>VLOOKUP(C199,'Non-medicinal details'!$A$1:$E$12,4,FALSE)</f>
        <v>250</v>
      </c>
      <c r="F199">
        <f t="shared" si="7"/>
        <v>250</v>
      </c>
      <c r="G199" t="str">
        <f>VLOOKUP(C199,'Non-medicinal details'!$A$1:$E$12,3,FALSE)</f>
        <v>Nutritional powders</v>
      </c>
      <c r="H199">
        <f>F199-(VLOOKUP(C199,'Non-medicinal details'!$A$1:$E$12,5,FALSE)*D199)</f>
        <v>40</v>
      </c>
    </row>
    <row r="200" spans="1:8" x14ac:dyDescent="0.3">
      <c r="A200" s="9">
        <v>45814</v>
      </c>
      <c r="B200" s="9" t="str">
        <f t="shared" si="6"/>
        <v>Friday</v>
      </c>
      <c r="C200" s="2" t="s">
        <v>44</v>
      </c>
      <c r="D200" s="2">
        <v>0</v>
      </c>
      <c r="E200">
        <f>VLOOKUP(C200,'Non-medicinal details'!$A$1:$E$12,4,FALSE)</f>
        <v>249</v>
      </c>
      <c r="F200">
        <f t="shared" si="7"/>
        <v>0</v>
      </c>
      <c r="G200" t="str">
        <f>VLOOKUP(C200,'Non-medicinal details'!$A$1:$E$12,3,FALSE)</f>
        <v>Nutritional powders</v>
      </c>
      <c r="H200">
        <f>F200-(VLOOKUP(C200,'Non-medicinal details'!$A$1:$E$12,5,FALSE)*D200)</f>
        <v>0</v>
      </c>
    </row>
    <row r="201" spans="1:8" x14ac:dyDescent="0.3">
      <c r="A201" s="9">
        <v>45815</v>
      </c>
      <c r="B201" s="9" t="str">
        <f t="shared" si="6"/>
        <v>Saturday</v>
      </c>
      <c r="C201" s="2" t="s">
        <v>33</v>
      </c>
      <c r="D201" s="2">
        <v>0</v>
      </c>
      <c r="E201">
        <f>VLOOKUP(C201,'Non-medicinal details'!$A$1:$E$12,4,FALSE)</f>
        <v>520</v>
      </c>
      <c r="F201">
        <f t="shared" si="7"/>
        <v>0</v>
      </c>
      <c r="G201" t="str">
        <f>VLOOKUP(C201,'Non-medicinal details'!$A$1:$E$12,3,FALSE)</f>
        <v>Hair Care</v>
      </c>
      <c r="H201">
        <f>F201-(VLOOKUP(C201,'Non-medicinal details'!$A$1:$E$12,5,FALSE)*D201)</f>
        <v>0</v>
      </c>
    </row>
    <row r="202" spans="1:8" x14ac:dyDescent="0.3">
      <c r="A202" s="9">
        <v>45815</v>
      </c>
      <c r="B202" s="9" t="str">
        <f t="shared" si="6"/>
        <v>Saturday</v>
      </c>
      <c r="C202" s="2" t="s">
        <v>34</v>
      </c>
      <c r="D202" s="2">
        <v>0</v>
      </c>
      <c r="E202">
        <f>VLOOKUP(C202,'Non-medicinal details'!$A$1:$E$12,4,FALSE)</f>
        <v>248</v>
      </c>
      <c r="F202">
        <f t="shared" si="7"/>
        <v>0</v>
      </c>
      <c r="G202" t="str">
        <f>VLOOKUP(C202,'Non-medicinal details'!$A$1:$E$12,3,FALSE)</f>
        <v>Hair Care</v>
      </c>
      <c r="H202">
        <f>F202-(VLOOKUP(C202,'Non-medicinal details'!$A$1:$E$12,5,FALSE)*D202)</f>
        <v>0</v>
      </c>
    </row>
    <row r="203" spans="1:8" x14ac:dyDescent="0.3">
      <c r="A203" s="9">
        <v>45815</v>
      </c>
      <c r="B203" s="9" t="str">
        <f t="shared" si="6"/>
        <v>Saturday</v>
      </c>
      <c r="C203" s="2" t="s">
        <v>35</v>
      </c>
      <c r="D203" s="2">
        <v>0</v>
      </c>
      <c r="E203">
        <f>VLOOKUP(C203,'Non-medicinal details'!$A$1:$E$12,4,FALSE)</f>
        <v>200</v>
      </c>
      <c r="F203">
        <f t="shared" si="7"/>
        <v>0</v>
      </c>
      <c r="G203" t="str">
        <f>VLOOKUP(C203,'Non-medicinal details'!$A$1:$E$12,3,FALSE)</f>
        <v>Oral Care</v>
      </c>
      <c r="H203">
        <f>F203-(VLOOKUP(C203,'Non-medicinal details'!$A$1:$E$12,5,FALSE)*D203)</f>
        <v>0</v>
      </c>
    </row>
    <row r="204" spans="1:8" x14ac:dyDescent="0.3">
      <c r="A204" s="9">
        <v>45815</v>
      </c>
      <c r="B204" s="9" t="str">
        <f t="shared" si="6"/>
        <v>Saturday</v>
      </c>
      <c r="C204" s="2" t="s">
        <v>37</v>
      </c>
      <c r="D204" s="2">
        <v>0</v>
      </c>
      <c r="E204">
        <f>VLOOKUP(C204,'Non-medicinal details'!$A$1:$E$12,4,FALSE)</f>
        <v>46</v>
      </c>
      <c r="F204">
        <f t="shared" si="7"/>
        <v>0</v>
      </c>
      <c r="G204" t="str">
        <f>VLOOKUP(C204,'Non-medicinal details'!$A$1:$E$12,3,FALSE)</f>
        <v>Oral Care</v>
      </c>
      <c r="H204">
        <f>F204-(VLOOKUP(C204,'Non-medicinal details'!$A$1:$E$12,5,FALSE)*D204)</f>
        <v>0</v>
      </c>
    </row>
    <row r="205" spans="1:8" x14ac:dyDescent="0.3">
      <c r="A205" s="9">
        <v>45815</v>
      </c>
      <c r="B205" s="9" t="str">
        <f t="shared" si="6"/>
        <v>Saturday</v>
      </c>
      <c r="C205" s="2" t="s">
        <v>38</v>
      </c>
      <c r="D205" s="2">
        <v>0</v>
      </c>
      <c r="E205">
        <f>VLOOKUP(C205,'Non-medicinal details'!$A$1:$E$12,4,FALSE)</f>
        <v>95</v>
      </c>
      <c r="F205">
        <f t="shared" si="7"/>
        <v>0</v>
      </c>
      <c r="G205" t="str">
        <f>VLOOKUP(C205,'Non-medicinal details'!$A$1:$E$12,3,FALSE)</f>
        <v>Skin Care</v>
      </c>
      <c r="H205">
        <f>F205-(VLOOKUP(C205,'Non-medicinal details'!$A$1:$E$12,5,FALSE)*D205)</f>
        <v>0</v>
      </c>
    </row>
    <row r="206" spans="1:8" x14ac:dyDescent="0.3">
      <c r="A206" s="9">
        <v>45815</v>
      </c>
      <c r="B206" s="9" t="str">
        <f t="shared" si="6"/>
        <v>Saturday</v>
      </c>
      <c r="C206" s="2" t="s">
        <v>39</v>
      </c>
      <c r="D206" s="2">
        <v>0</v>
      </c>
      <c r="E206">
        <f>VLOOKUP(C206,'Non-medicinal details'!$A$1:$E$12,4,FALSE)</f>
        <v>35</v>
      </c>
      <c r="F206">
        <f t="shared" si="7"/>
        <v>0</v>
      </c>
      <c r="G206" t="str">
        <f>VLOOKUP(C206,'Non-medicinal details'!$A$1:$E$12,3,FALSE)</f>
        <v>Skin Care</v>
      </c>
      <c r="H206">
        <f>F206-(VLOOKUP(C206,'Non-medicinal details'!$A$1:$E$12,5,FALSE)*D206)</f>
        <v>0</v>
      </c>
    </row>
    <row r="207" spans="1:8" x14ac:dyDescent="0.3">
      <c r="A207" s="9">
        <v>45815</v>
      </c>
      <c r="B207" s="9" t="str">
        <f t="shared" si="6"/>
        <v>Saturday</v>
      </c>
      <c r="C207" s="2" t="s">
        <v>40</v>
      </c>
      <c r="D207" s="2">
        <v>0</v>
      </c>
      <c r="E207">
        <f>VLOOKUP(C207,'Non-medicinal details'!$A$1:$E$12,4,FALSE)</f>
        <v>60</v>
      </c>
      <c r="F207">
        <f t="shared" si="7"/>
        <v>0</v>
      </c>
      <c r="G207" t="str">
        <f>VLOOKUP(C207,'Non-medicinal details'!$A$1:$E$12,3,FALSE)</f>
        <v>Baby and Child Care</v>
      </c>
      <c r="H207">
        <f>F207-(VLOOKUP(C207,'Non-medicinal details'!$A$1:$E$12,5,FALSE)*D207)</f>
        <v>0</v>
      </c>
    </row>
    <row r="208" spans="1:8" x14ac:dyDescent="0.3">
      <c r="A208" s="9">
        <v>45815</v>
      </c>
      <c r="B208" s="9" t="str">
        <f t="shared" si="6"/>
        <v>Saturday</v>
      </c>
      <c r="C208" s="2" t="s">
        <v>41</v>
      </c>
      <c r="D208" s="2">
        <v>0</v>
      </c>
      <c r="E208">
        <f>VLOOKUP(C208,'Non-medicinal details'!$A$1:$E$12,4,FALSE)</f>
        <v>120</v>
      </c>
      <c r="F208">
        <f t="shared" si="7"/>
        <v>0</v>
      </c>
      <c r="G208" t="str">
        <f>VLOOKUP(C208,'Non-medicinal details'!$A$1:$E$12,3,FALSE)</f>
        <v>Baby and Child Care</v>
      </c>
      <c r="H208">
        <f>F208-(VLOOKUP(C208,'Non-medicinal details'!$A$1:$E$12,5,FALSE)*D208)</f>
        <v>0</v>
      </c>
    </row>
    <row r="209" spans="1:8" x14ac:dyDescent="0.3">
      <c r="A209" s="9">
        <v>45815</v>
      </c>
      <c r="B209" s="9" t="str">
        <f t="shared" si="6"/>
        <v>Saturday</v>
      </c>
      <c r="C209" s="2" t="s">
        <v>42</v>
      </c>
      <c r="D209" s="2">
        <v>2</v>
      </c>
      <c r="E209">
        <f>VLOOKUP(C209,'Non-medicinal details'!$A$1:$E$12,4,FALSE)</f>
        <v>50</v>
      </c>
      <c r="F209">
        <f t="shared" si="7"/>
        <v>100</v>
      </c>
      <c r="G209" t="str">
        <f>VLOOKUP(C209,'Non-medicinal details'!$A$1:$E$12,3,FALSE)</f>
        <v>Hygiene</v>
      </c>
      <c r="H209">
        <f>F209-(VLOOKUP(C209,'Non-medicinal details'!$A$1:$E$12,5,FALSE)*D209)</f>
        <v>24</v>
      </c>
    </row>
    <row r="210" spans="1:8" x14ac:dyDescent="0.3">
      <c r="A210" s="9">
        <v>45815</v>
      </c>
      <c r="B210" s="9" t="str">
        <f t="shared" si="6"/>
        <v>Saturday</v>
      </c>
      <c r="C210" s="2" t="s">
        <v>43</v>
      </c>
      <c r="D210" s="2">
        <v>0</v>
      </c>
      <c r="E210">
        <f>VLOOKUP(C210,'Non-medicinal details'!$A$1:$E$12,4,FALSE)</f>
        <v>250</v>
      </c>
      <c r="F210">
        <f t="shared" si="7"/>
        <v>0</v>
      </c>
      <c r="G210" t="str">
        <f>VLOOKUP(C210,'Non-medicinal details'!$A$1:$E$12,3,FALSE)</f>
        <v>Nutritional powders</v>
      </c>
      <c r="H210">
        <f>F210-(VLOOKUP(C210,'Non-medicinal details'!$A$1:$E$12,5,FALSE)*D210)</f>
        <v>0</v>
      </c>
    </row>
    <row r="211" spans="1:8" x14ac:dyDescent="0.3">
      <c r="A211" s="9">
        <v>45815</v>
      </c>
      <c r="B211" s="9" t="str">
        <f t="shared" si="6"/>
        <v>Saturday</v>
      </c>
      <c r="C211" s="2" t="s">
        <v>44</v>
      </c>
      <c r="D211" s="2">
        <v>1</v>
      </c>
      <c r="E211">
        <f>VLOOKUP(C211,'Non-medicinal details'!$A$1:$E$12,4,FALSE)</f>
        <v>249</v>
      </c>
      <c r="F211">
        <f t="shared" si="7"/>
        <v>249</v>
      </c>
      <c r="G211" t="str">
        <f>VLOOKUP(C211,'Non-medicinal details'!$A$1:$E$12,3,FALSE)</f>
        <v>Nutritional powders</v>
      </c>
      <c r="H211">
        <f>F211-(VLOOKUP(C211,'Non-medicinal details'!$A$1:$E$12,5,FALSE)*D211)</f>
        <v>49</v>
      </c>
    </row>
    <row r="212" spans="1:8" x14ac:dyDescent="0.3">
      <c r="A212" s="9">
        <v>45816</v>
      </c>
      <c r="B212" s="9" t="str">
        <f t="shared" si="6"/>
        <v>Sunday</v>
      </c>
      <c r="C212" s="2" t="s">
        <v>33</v>
      </c>
      <c r="D212" s="2">
        <v>1</v>
      </c>
      <c r="E212">
        <f>VLOOKUP(C212,'Non-medicinal details'!$A$1:$E$12,4,FALSE)</f>
        <v>520</v>
      </c>
      <c r="F212">
        <f t="shared" si="7"/>
        <v>520</v>
      </c>
      <c r="G212" t="str">
        <f>VLOOKUP(C212,'Non-medicinal details'!$A$1:$E$12,3,FALSE)</f>
        <v>Hair Care</v>
      </c>
      <c r="H212">
        <f>F212-(VLOOKUP(C212,'Non-medicinal details'!$A$1:$E$12,5,FALSE)*D212)</f>
        <v>20</v>
      </c>
    </row>
    <row r="213" spans="1:8" x14ac:dyDescent="0.3">
      <c r="A213" s="9">
        <v>45816</v>
      </c>
      <c r="B213" s="9" t="str">
        <f t="shared" si="6"/>
        <v>Sunday</v>
      </c>
      <c r="C213" s="2" t="s">
        <v>34</v>
      </c>
      <c r="D213" s="2">
        <v>0</v>
      </c>
      <c r="E213">
        <f>VLOOKUP(C213,'Non-medicinal details'!$A$1:$E$12,4,FALSE)</f>
        <v>248</v>
      </c>
      <c r="F213">
        <f t="shared" si="7"/>
        <v>0</v>
      </c>
      <c r="G213" t="str">
        <f>VLOOKUP(C213,'Non-medicinal details'!$A$1:$E$12,3,FALSE)</f>
        <v>Hair Care</v>
      </c>
      <c r="H213">
        <f>F213-(VLOOKUP(C213,'Non-medicinal details'!$A$1:$E$12,5,FALSE)*D213)</f>
        <v>0</v>
      </c>
    </row>
    <row r="214" spans="1:8" x14ac:dyDescent="0.3">
      <c r="A214" s="9">
        <v>45816</v>
      </c>
      <c r="B214" s="9" t="str">
        <f t="shared" si="6"/>
        <v>Sunday</v>
      </c>
      <c r="C214" s="2" t="s">
        <v>35</v>
      </c>
      <c r="D214" s="2">
        <v>0</v>
      </c>
      <c r="E214">
        <f>VLOOKUP(C214,'Non-medicinal details'!$A$1:$E$12,4,FALSE)</f>
        <v>200</v>
      </c>
      <c r="F214">
        <f t="shared" si="7"/>
        <v>0</v>
      </c>
      <c r="G214" t="str">
        <f>VLOOKUP(C214,'Non-medicinal details'!$A$1:$E$12,3,FALSE)</f>
        <v>Oral Care</v>
      </c>
      <c r="H214">
        <f>F214-(VLOOKUP(C214,'Non-medicinal details'!$A$1:$E$12,5,FALSE)*D214)</f>
        <v>0</v>
      </c>
    </row>
    <row r="215" spans="1:8" x14ac:dyDescent="0.3">
      <c r="A215" s="9">
        <v>45816</v>
      </c>
      <c r="B215" s="9" t="str">
        <f t="shared" si="6"/>
        <v>Sunday</v>
      </c>
      <c r="C215" s="2" t="s">
        <v>37</v>
      </c>
      <c r="D215" s="2">
        <v>1</v>
      </c>
      <c r="E215">
        <f>VLOOKUP(C215,'Non-medicinal details'!$A$1:$E$12,4,FALSE)</f>
        <v>46</v>
      </c>
      <c r="F215">
        <f t="shared" si="7"/>
        <v>46</v>
      </c>
      <c r="G215" t="str">
        <f>VLOOKUP(C215,'Non-medicinal details'!$A$1:$E$12,3,FALSE)</f>
        <v>Oral Care</v>
      </c>
      <c r="H215">
        <f>F215-(VLOOKUP(C215,'Non-medicinal details'!$A$1:$E$12,5,FALSE)*D215)</f>
        <v>16</v>
      </c>
    </row>
    <row r="216" spans="1:8" x14ac:dyDescent="0.3">
      <c r="A216" s="9">
        <v>45816</v>
      </c>
      <c r="B216" s="9" t="str">
        <f t="shared" si="6"/>
        <v>Sunday</v>
      </c>
      <c r="C216" s="2" t="s">
        <v>38</v>
      </c>
      <c r="D216" s="2">
        <v>0</v>
      </c>
      <c r="E216">
        <f>VLOOKUP(C216,'Non-medicinal details'!$A$1:$E$12,4,FALSE)</f>
        <v>95</v>
      </c>
      <c r="F216">
        <f t="shared" si="7"/>
        <v>0</v>
      </c>
      <c r="G216" t="str">
        <f>VLOOKUP(C216,'Non-medicinal details'!$A$1:$E$12,3,FALSE)</f>
        <v>Skin Care</v>
      </c>
      <c r="H216">
        <f>F216-(VLOOKUP(C216,'Non-medicinal details'!$A$1:$E$12,5,FALSE)*D216)</f>
        <v>0</v>
      </c>
    </row>
    <row r="217" spans="1:8" x14ac:dyDescent="0.3">
      <c r="A217" s="9">
        <v>45816</v>
      </c>
      <c r="B217" s="9" t="str">
        <f t="shared" si="6"/>
        <v>Sunday</v>
      </c>
      <c r="C217" s="2" t="s">
        <v>39</v>
      </c>
      <c r="D217" s="2">
        <v>0</v>
      </c>
      <c r="E217">
        <f>VLOOKUP(C217,'Non-medicinal details'!$A$1:$E$12,4,FALSE)</f>
        <v>35</v>
      </c>
      <c r="F217">
        <f t="shared" si="7"/>
        <v>0</v>
      </c>
      <c r="G217" t="str">
        <f>VLOOKUP(C217,'Non-medicinal details'!$A$1:$E$12,3,FALSE)</f>
        <v>Skin Care</v>
      </c>
      <c r="H217">
        <f>F217-(VLOOKUP(C217,'Non-medicinal details'!$A$1:$E$12,5,FALSE)*D217)</f>
        <v>0</v>
      </c>
    </row>
    <row r="218" spans="1:8" x14ac:dyDescent="0.3">
      <c r="A218" s="9">
        <v>45816</v>
      </c>
      <c r="B218" s="9" t="str">
        <f t="shared" si="6"/>
        <v>Sunday</v>
      </c>
      <c r="C218" s="2" t="s">
        <v>40</v>
      </c>
      <c r="D218" s="2">
        <v>2</v>
      </c>
      <c r="E218">
        <f>VLOOKUP(C218,'Non-medicinal details'!$A$1:$E$12,4,FALSE)</f>
        <v>60</v>
      </c>
      <c r="F218">
        <f t="shared" si="7"/>
        <v>120</v>
      </c>
      <c r="G218" t="str">
        <f>VLOOKUP(C218,'Non-medicinal details'!$A$1:$E$12,3,FALSE)</f>
        <v>Baby and Child Care</v>
      </c>
      <c r="H218">
        <f>F218-(VLOOKUP(C218,'Non-medicinal details'!$A$1:$E$12,5,FALSE)*D218)</f>
        <v>40</v>
      </c>
    </row>
    <row r="219" spans="1:8" x14ac:dyDescent="0.3">
      <c r="A219" s="9">
        <v>45816</v>
      </c>
      <c r="B219" s="9" t="str">
        <f t="shared" si="6"/>
        <v>Sunday</v>
      </c>
      <c r="C219" s="2" t="s">
        <v>41</v>
      </c>
      <c r="D219" s="2">
        <v>1</v>
      </c>
      <c r="E219">
        <f>VLOOKUP(C219,'Non-medicinal details'!$A$1:$E$12,4,FALSE)</f>
        <v>120</v>
      </c>
      <c r="F219">
        <f t="shared" si="7"/>
        <v>120</v>
      </c>
      <c r="G219" t="str">
        <f>VLOOKUP(C219,'Non-medicinal details'!$A$1:$E$12,3,FALSE)</f>
        <v>Baby and Child Care</v>
      </c>
      <c r="H219">
        <f>F219-(VLOOKUP(C219,'Non-medicinal details'!$A$1:$E$12,5,FALSE)*D219)</f>
        <v>10</v>
      </c>
    </row>
    <row r="220" spans="1:8" x14ac:dyDescent="0.3">
      <c r="A220" s="9">
        <v>45816</v>
      </c>
      <c r="B220" s="9" t="str">
        <f t="shared" si="6"/>
        <v>Sunday</v>
      </c>
      <c r="C220" s="2" t="s">
        <v>42</v>
      </c>
      <c r="D220" s="2">
        <v>1</v>
      </c>
      <c r="E220">
        <f>VLOOKUP(C220,'Non-medicinal details'!$A$1:$E$12,4,FALSE)</f>
        <v>50</v>
      </c>
      <c r="F220">
        <f t="shared" si="7"/>
        <v>50</v>
      </c>
      <c r="G220" t="str">
        <f>VLOOKUP(C220,'Non-medicinal details'!$A$1:$E$12,3,FALSE)</f>
        <v>Hygiene</v>
      </c>
      <c r="H220">
        <f>F220-(VLOOKUP(C220,'Non-medicinal details'!$A$1:$E$12,5,FALSE)*D220)</f>
        <v>12</v>
      </c>
    </row>
    <row r="221" spans="1:8" x14ac:dyDescent="0.3">
      <c r="A221" s="9">
        <v>45816</v>
      </c>
      <c r="B221" s="9" t="str">
        <f t="shared" si="6"/>
        <v>Sunday</v>
      </c>
      <c r="C221" s="2" t="s">
        <v>43</v>
      </c>
      <c r="D221" s="2">
        <v>0</v>
      </c>
      <c r="E221">
        <f>VLOOKUP(C221,'Non-medicinal details'!$A$1:$E$12,4,FALSE)</f>
        <v>250</v>
      </c>
      <c r="F221">
        <f t="shared" si="7"/>
        <v>0</v>
      </c>
      <c r="G221" t="str">
        <f>VLOOKUP(C221,'Non-medicinal details'!$A$1:$E$12,3,FALSE)</f>
        <v>Nutritional powders</v>
      </c>
      <c r="H221">
        <f>F221-(VLOOKUP(C221,'Non-medicinal details'!$A$1:$E$12,5,FALSE)*D221)</f>
        <v>0</v>
      </c>
    </row>
    <row r="222" spans="1:8" x14ac:dyDescent="0.3">
      <c r="A222" s="9">
        <v>45816</v>
      </c>
      <c r="B222" s="9" t="str">
        <f t="shared" si="6"/>
        <v>Sunday</v>
      </c>
      <c r="C222" s="2" t="s">
        <v>44</v>
      </c>
      <c r="D222" s="2">
        <v>0</v>
      </c>
      <c r="E222">
        <f>VLOOKUP(C222,'Non-medicinal details'!$A$1:$E$12,4,FALSE)</f>
        <v>249</v>
      </c>
      <c r="F222">
        <f t="shared" si="7"/>
        <v>0</v>
      </c>
      <c r="G222" t="str">
        <f>VLOOKUP(C222,'Non-medicinal details'!$A$1:$E$12,3,FALSE)</f>
        <v>Nutritional powders</v>
      </c>
      <c r="H222">
        <f>F222-(VLOOKUP(C222,'Non-medicinal details'!$A$1:$E$12,5,FALSE)*D222)</f>
        <v>0</v>
      </c>
    </row>
    <row r="223" spans="1:8" x14ac:dyDescent="0.3">
      <c r="A223" s="9">
        <v>45817</v>
      </c>
      <c r="B223" s="9" t="str">
        <f t="shared" si="6"/>
        <v>Monday</v>
      </c>
      <c r="C223" s="2" t="s">
        <v>33</v>
      </c>
      <c r="D223" s="2">
        <v>0</v>
      </c>
      <c r="E223">
        <f>VLOOKUP(C223,'Non-medicinal details'!$A$1:$E$12,4,FALSE)</f>
        <v>520</v>
      </c>
      <c r="F223">
        <f t="shared" si="7"/>
        <v>0</v>
      </c>
      <c r="G223" t="str">
        <f>VLOOKUP(C223,'Non-medicinal details'!$A$1:$E$12,3,FALSE)</f>
        <v>Hair Care</v>
      </c>
      <c r="H223">
        <f>F223-(VLOOKUP(C223,'Non-medicinal details'!$A$1:$E$12,5,FALSE)*D223)</f>
        <v>0</v>
      </c>
    </row>
    <row r="224" spans="1:8" x14ac:dyDescent="0.3">
      <c r="A224" s="9">
        <v>45817</v>
      </c>
      <c r="B224" s="9" t="str">
        <f t="shared" si="6"/>
        <v>Monday</v>
      </c>
      <c r="C224" s="2" t="s">
        <v>34</v>
      </c>
      <c r="D224" s="2">
        <v>1</v>
      </c>
      <c r="E224">
        <f>VLOOKUP(C224,'Non-medicinal details'!$A$1:$E$12,4,FALSE)</f>
        <v>248</v>
      </c>
      <c r="F224">
        <f t="shared" si="7"/>
        <v>248</v>
      </c>
      <c r="G224" t="str">
        <f>VLOOKUP(C224,'Non-medicinal details'!$A$1:$E$12,3,FALSE)</f>
        <v>Hair Care</v>
      </c>
      <c r="H224">
        <f>F224-(VLOOKUP(C224,'Non-medicinal details'!$A$1:$E$12,5,FALSE)*D224)</f>
        <v>88</v>
      </c>
    </row>
    <row r="225" spans="1:8" x14ac:dyDescent="0.3">
      <c r="A225" s="9">
        <v>45817</v>
      </c>
      <c r="B225" s="9" t="str">
        <f t="shared" si="6"/>
        <v>Monday</v>
      </c>
      <c r="C225" s="2" t="s">
        <v>35</v>
      </c>
      <c r="D225" s="2">
        <v>0</v>
      </c>
      <c r="E225">
        <f>VLOOKUP(C225,'Non-medicinal details'!$A$1:$E$12,4,FALSE)</f>
        <v>200</v>
      </c>
      <c r="F225">
        <f t="shared" si="7"/>
        <v>0</v>
      </c>
      <c r="G225" t="str">
        <f>VLOOKUP(C225,'Non-medicinal details'!$A$1:$E$12,3,FALSE)</f>
        <v>Oral Care</v>
      </c>
      <c r="H225">
        <f>F225-(VLOOKUP(C225,'Non-medicinal details'!$A$1:$E$12,5,FALSE)*D225)</f>
        <v>0</v>
      </c>
    </row>
    <row r="226" spans="1:8" x14ac:dyDescent="0.3">
      <c r="A226" s="9">
        <v>45817</v>
      </c>
      <c r="B226" s="9" t="str">
        <f t="shared" si="6"/>
        <v>Monday</v>
      </c>
      <c r="C226" s="2" t="s">
        <v>37</v>
      </c>
      <c r="D226" s="2">
        <v>1</v>
      </c>
      <c r="E226">
        <f>VLOOKUP(C226,'Non-medicinal details'!$A$1:$E$12,4,FALSE)</f>
        <v>46</v>
      </c>
      <c r="F226">
        <f t="shared" si="7"/>
        <v>46</v>
      </c>
      <c r="G226" t="str">
        <f>VLOOKUP(C226,'Non-medicinal details'!$A$1:$E$12,3,FALSE)</f>
        <v>Oral Care</v>
      </c>
      <c r="H226">
        <f>F226-(VLOOKUP(C226,'Non-medicinal details'!$A$1:$E$12,5,FALSE)*D226)</f>
        <v>16</v>
      </c>
    </row>
    <row r="227" spans="1:8" x14ac:dyDescent="0.3">
      <c r="A227" s="9">
        <v>45817</v>
      </c>
      <c r="B227" s="9" t="str">
        <f t="shared" si="6"/>
        <v>Monday</v>
      </c>
      <c r="C227" s="2" t="s">
        <v>38</v>
      </c>
      <c r="D227" s="2">
        <v>0</v>
      </c>
      <c r="E227">
        <f>VLOOKUP(C227,'Non-medicinal details'!$A$1:$E$12,4,FALSE)</f>
        <v>95</v>
      </c>
      <c r="F227">
        <f t="shared" si="7"/>
        <v>0</v>
      </c>
      <c r="G227" t="str">
        <f>VLOOKUP(C227,'Non-medicinal details'!$A$1:$E$12,3,FALSE)</f>
        <v>Skin Care</v>
      </c>
      <c r="H227">
        <f>F227-(VLOOKUP(C227,'Non-medicinal details'!$A$1:$E$12,5,FALSE)*D227)</f>
        <v>0</v>
      </c>
    </row>
    <row r="228" spans="1:8" x14ac:dyDescent="0.3">
      <c r="A228" s="9">
        <v>45817</v>
      </c>
      <c r="B228" s="9" t="str">
        <f t="shared" si="6"/>
        <v>Monday</v>
      </c>
      <c r="C228" s="2" t="s">
        <v>39</v>
      </c>
      <c r="D228" s="2">
        <v>0</v>
      </c>
      <c r="E228">
        <f>VLOOKUP(C228,'Non-medicinal details'!$A$1:$E$12,4,FALSE)</f>
        <v>35</v>
      </c>
      <c r="F228">
        <f t="shared" si="7"/>
        <v>0</v>
      </c>
      <c r="G228" t="str">
        <f>VLOOKUP(C228,'Non-medicinal details'!$A$1:$E$12,3,FALSE)</f>
        <v>Skin Care</v>
      </c>
      <c r="H228">
        <f>F228-(VLOOKUP(C228,'Non-medicinal details'!$A$1:$E$12,5,FALSE)*D228)</f>
        <v>0</v>
      </c>
    </row>
    <row r="229" spans="1:8" x14ac:dyDescent="0.3">
      <c r="A229" s="9">
        <v>45817</v>
      </c>
      <c r="B229" s="9" t="str">
        <f t="shared" si="6"/>
        <v>Monday</v>
      </c>
      <c r="C229" s="2" t="s">
        <v>40</v>
      </c>
      <c r="D229" s="2">
        <v>2</v>
      </c>
      <c r="E229">
        <f>VLOOKUP(C229,'Non-medicinal details'!$A$1:$E$12,4,FALSE)</f>
        <v>60</v>
      </c>
      <c r="F229">
        <f t="shared" si="7"/>
        <v>120</v>
      </c>
      <c r="G229" t="str">
        <f>VLOOKUP(C229,'Non-medicinal details'!$A$1:$E$12,3,FALSE)</f>
        <v>Baby and Child Care</v>
      </c>
      <c r="H229">
        <f>F229-(VLOOKUP(C229,'Non-medicinal details'!$A$1:$E$12,5,FALSE)*D229)</f>
        <v>40</v>
      </c>
    </row>
    <row r="230" spans="1:8" x14ac:dyDescent="0.3">
      <c r="A230" s="9">
        <v>45817</v>
      </c>
      <c r="B230" s="9" t="str">
        <f t="shared" si="6"/>
        <v>Monday</v>
      </c>
      <c r="C230" s="2" t="s">
        <v>41</v>
      </c>
      <c r="D230" s="2">
        <v>0</v>
      </c>
      <c r="E230">
        <f>VLOOKUP(C230,'Non-medicinal details'!$A$1:$E$12,4,FALSE)</f>
        <v>120</v>
      </c>
      <c r="F230">
        <f t="shared" si="7"/>
        <v>0</v>
      </c>
      <c r="G230" t="str">
        <f>VLOOKUP(C230,'Non-medicinal details'!$A$1:$E$12,3,FALSE)</f>
        <v>Baby and Child Care</v>
      </c>
      <c r="H230">
        <f>F230-(VLOOKUP(C230,'Non-medicinal details'!$A$1:$E$12,5,FALSE)*D230)</f>
        <v>0</v>
      </c>
    </row>
    <row r="231" spans="1:8" x14ac:dyDescent="0.3">
      <c r="A231" s="9">
        <v>45817</v>
      </c>
      <c r="B231" s="9" t="str">
        <f t="shared" si="6"/>
        <v>Monday</v>
      </c>
      <c r="C231" s="2" t="s">
        <v>42</v>
      </c>
      <c r="D231" s="2">
        <v>2</v>
      </c>
      <c r="E231">
        <f>VLOOKUP(C231,'Non-medicinal details'!$A$1:$E$12,4,FALSE)</f>
        <v>50</v>
      </c>
      <c r="F231">
        <f t="shared" si="7"/>
        <v>100</v>
      </c>
      <c r="G231" t="str">
        <f>VLOOKUP(C231,'Non-medicinal details'!$A$1:$E$12,3,FALSE)</f>
        <v>Hygiene</v>
      </c>
      <c r="H231">
        <f>F231-(VLOOKUP(C231,'Non-medicinal details'!$A$1:$E$12,5,FALSE)*D231)</f>
        <v>24</v>
      </c>
    </row>
    <row r="232" spans="1:8" x14ac:dyDescent="0.3">
      <c r="A232" s="9">
        <v>45817</v>
      </c>
      <c r="B232" s="9" t="str">
        <f t="shared" si="6"/>
        <v>Monday</v>
      </c>
      <c r="C232" s="2" t="s">
        <v>43</v>
      </c>
      <c r="D232" s="2">
        <v>0</v>
      </c>
      <c r="E232">
        <f>VLOOKUP(C232,'Non-medicinal details'!$A$1:$E$12,4,FALSE)</f>
        <v>250</v>
      </c>
      <c r="F232">
        <f t="shared" si="7"/>
        <v>0</v>
      </c>
      <c r="G232" t="str">
        <f>VLOOKUP(C232,'Non-medicinal details'!$A$1:$E$12,3,FALSE)</f>
        <v>Nutritional powders</v>
      </c>
      <c r="H232">
        <f>F232-(VLOOKUP(C232,'Non-medicinal details'!$A$1:$E$12,5,FALSE)*D232)</f>
        <v>0</v>
      </c>
    </row>
    <row r="233" spans="1:8" x14ac:dyDescent="0.3">
      <c r="A233" s="9">
        <v>45817</v>
      </c>
      <c r="B233" s="9" t="str">
        <f t="shared" si="6"/>
        <v>Monday</v>
      </c>
      <c r="C233" s="2" t="s">
        <v>44</v>
      </c>
      <c r="D233" s="2">
        <v>1</v>
      </c>
      <c r="E233">
        <f>VLOOKUP(C233,'Non-medicinal details'!$A$1:$E$12,4,FALSE)</f>
        <v>249</v>
      </c>
      <c r="F233">
        <f t="shared" si="7"/>
        <v>249</v>
      </c>
      <c r="G233" t="str">
        <f>VLOOKUP(C233,'Non-medicinal details'!$A$1:$E$12,3,FALSE)</f>
        <v>Nutritional powders</v>
      </c>
      <c r="H233">
        <f>F233-(VLOOKUP(C233,'Non-medicinal details'!$A$1:$E$12,5,FALSE)*D233)</f>
        <v>49</v>
      </c>
    </row>
    <row r="234" spans="1:8" x14ac:dyDescent="0.3">
      <c r="A234" s="9">
        <v>45818</v>
      </c>
      <c r="B234" s="9" t="str">
        <f t="shared" si="6"/>
        <v>Tuesday</v>
      </c>
      <c r="C234" s="2" t="s">
        <v>33</v>
      </c>
      <c r="D234" s="2">
        <v>0</v>
      </c>
      <c r="E234">
        <f>VLOOKUP(C234,'Non-medicinal details'!$A$1:$E$12,4,FALSE)</f>
        <v>520</v>
      </c>
      <c r="F234">
        <f t="shared" si="7"/>
        <v>0</v>
      </c>
      <c r="G234" t="str">
        <f>VLOOKUP(C234,'Non-medicinal details'!$A$1:$E$12,3,FALSE)</f>
        <v>Hair Care</v>
      </c>
      <c r="H234">
        <f>F234-(VLOOKUP(C234,'Non-medicinal details'!$A$1:$E$12,5,FALSE)*D234)</f>
        <v>0</v>
      </c>
    </row>
    <row r="235" spans="1:8" x14ac:dyDescent="0.3">
      <c r="A235" s="9">
        <v>45818</v>
      </c>
      <c r="B235" s="9" t="str">
        <f t="shared" si="6"/>
        <v>Tuesday</v>
      </c>
      <c r="C235" s="2" t="s">
        <v>34</v>
      </c>
      <c r="D235" s="2">
        <v>0</v>
      </c>
      <c r="E235">
        <f>VLOOKUP(C235,'Non-medicinal details'!$A$1:$E$12,4,FALSE)</f>
        <v>248</v>
      </c>
      <c r="F235">
        <f t="shared" si="7"/>
        <v>0</v>
      </c>
      <c r="G235" t="str">
        <f>VLOOKUP(C235,'Non-medicinal details'!$A$1:$E$12,3,FALSE)</f>
        <v>Hair Care</v>
      </c>
      <c r="H235">
        <f>F235-(VLOOKUP(C235,'Non-medicinal details'!$A$1:$E$12,5,FALSE)*D235)</f>
        <v>0</v>
      </c>
    </row>
    <row r="236" spans="1:8" x14ac:dyDescent="0.3">
      <c r="A236" s="9">
        <v>45818</v>
      </c>
      <c r="B236" s="9" t="str">
        <f t="shared" si="6"/>
        <v>Tuesday</v>
      </c>
      <c r="C236" s="2" t="s">
        <v>35</v>
      </c>
      <c r="D236" s="2">
        <v>0</v>
      </c>
      <c r="E236">
        <f>VLOOKUP(C236,'Non-medicinal details'!$A$1:$E$12,4,FALSE)</f>
        <v>200</v>
      </c>
      <c r="F236">
        <f t="shared" si="7"/>
        <v>0</v>
      </c>
      <c r="G236" t="str">
        <f>VLOOKUP(C236,'Non-medicinal details'!$A$1:$E$12,3,FALSE)</f>
        <v>Oral Care</v>
      </c>
      <c r="H236">
        <f>F236-(VLOOKUP(C236,'Non-medicinal details'!$A$1:$E$12,5,FALSE)*D236)</f>
        <v>0</v>
      </c>
    </row>
    <row r="237" spans="1:8" x14ac:dyDescent="0.3">
      <c r="A237" s="9">
        <v>45818</v>
      </c>
      <c r="B237" s="9" t="str">
        <f t="shared" si="6"/>
        <v>Tuesday</v>
      </c>
      <c r="C237" s="2" t="s">
        <v>37</v>
      </c>
      <c r="D237" s="2">
        <v>0</v>
      </c>
      <c r="E237">
        <f>VLOOKUP(C237,'Non-medicinal details'!$A$1:$E$12,4,FALSE)</f>
        <v>46</v>
      </c>
      <c r="F237">
        <f t="shared" si="7"/>
        <v>0</v>
      </c>
      <c r="G237" t="str">
        <f>VLOOKUP(C237,'Non-medicinal details'!$A$1:$E$12,3,FALSE)</f>
        <v>Oral Care</v>
      </c>
      <c r="H237">
        <f>F237-(VLOOKUP(C237,'Non-medicinal details'!$A$1:$E$12,5,FALSE)*D237)</f>
        <v>0</v>
      </c>
    </row>
    <row r="238" spans="1:8" x14ac:dyDescent="0.3">
      <c r="A238" s="9">
        <v>45818</v>
      </c>
      <c r="B238" s="9" t="str">
        <f t="shared" si="6"/>
        <v>Tuesday</v>
      </c>
      <c r="C238" s="2" t="s">
        <v>38</v>
      </c>
      <c r="D238" s="2">
        <v>1</v>
      </c>
      <c r="E238">
        <f>VLOOKUP(C238,'Non-medicinal details'!$A$1:$E$12,4,FALSE)</f>
        <v>95</v>
      </c>
      <c r="F238">
        <f t="shared" si="7"/>
        <v>95</v>
      </c>
      <c r="G238" t="str">
        <f>VLOOKUP(C238,'Non-medicinal details'!$A$1:$E$12,3,FALSE)</f>
        <v>Skin Care</v>
      </c>
      <c r="H238">
        <f>F238-(VLOOKUP(C238,'Non-medicinal details'!$A$1:$E$12,5,FALSE)*D238)</f>
        <v>10</v>
      </c>
    </row>
    <row r="239" spans="1:8" x14ac:dyDescent="0.3">
      <c r="A239" s="9">
        <v>45818</v>
      </c>
      <c r="B239" s="9" t="str">
        <f t="shared" si="6"/>
        <v>Tuesday</v>
      </c>
      <c r="C239" s="2" t="s">
        <v>39</v>
      </c>
      <c r="D239" s="2">
        <v>0</v>
      </c>
      <c r="E239">
        <f>VLOOKUP(C239,'Non-medicinal details'!$A$1:$E$12,4,FALSE)</f>
        <v>35</v>
      </c>
      <c r="F239">
        <f t="shared" si="7"/>
        <v>0</v>
      </c>
      <c r="G239" t="str">
        <f>VLOOKUP(C239,'Non-medicinal details'!$A$1:$E$12,3,FALSE)</f>
        <v>Skin Care</v>
      </c>
      <c r="H239">
        <f>F239-(VLOOKUP(C239,'Non-medicinal details'!$A$1:$E$12,5,FALSE)*D239)</f>
        <v>0</v>
      </c>
    </row>
    <row r="240" spans="1:8" x14ac:dyDescent="0.3">
      <c r="A240" s="9">
        <v>45818</v>
      </c>
      <c r="B240" s="9" t="str">
        <f t="shared" si="6"/>
        <v>Tuesday</v>
      </c>
      <c r="C240" s="2" t="s">
        <v>40</v>
      </c>
      <c r="D240" s="2">
        <v>1</v>
      </c>
      <c r="E240">
        <f>VLOOKUP(C240,'Non-medicinal details'!$A$1:$E$12,4,FALSE)</f>
        <v>60</v>
      </c>
      <c r="F240">
        <f t="shared" si="7"/>
        <v>60</v>
      </c>
      <c r="G240" t="str">
        <f>VLOOKUP(C240,'Non-medicinal details'!$A$1:$E$12,3,FALSE)</f>
        <v>Baby and Child Care</v>
      </c>
      <c r="H240">
        <f>F240-(VLOOKUP(C240,'Non-medicinal details'!$A$1:$E$12,5,FALSE)*D240)</f>
        <v>20</v>
      </c>
    </row>
    <row r="241" spans="1:8" x14ac:dyDescent="0.3">
      <c r="A241" s="9">
        <v>45818</v>
      </c>
      <c r="B241" s="9" t="str">
        <f t="shared" si="6"/>
        <v>Tuesday</v>
      </c>
      <c r="C241" s="2" t="s">
        <v>41</v>
      </c>
      <c r="D241" s="2">
        <v>0</v>
      </c>
      <c r="E241">
        <f>VLOOKUP(C241,'Non-medicinal details'!$A$1:$E$12,4,FALSE)</f>
        <v>120</v>
      </c>
      <c r="F241">
        <f t="shared" si="7"/>
        <v>0</v>
      </c>
      <c r="G241" t="str">
        <f>VLOOKUP(C241,'Non-medicinal details'!$A$1:$E$12,3,FALSE)</f>
        <v>Baby and Child Care</v>
      </c>
      <c r="H241">
        <f>F241-(VLOOKUP(C241,'Non-medicinal details'!$A$1:$E$12,5,FALSE)*D241)</f>
        <v>0</v>
      </c>
    </row>
    <row r="242" spans="1:8" x14ac:dyDescent="0.3">
      <c r="A242" s="9">
        <v>45818</v>
      </c>
      <c r="B242" s="9" t="str">
        <f t="shared" si="6"/>
        <v>Tuesday</v>
      </c>
      <c r="C242" s="2" t="s">
        <v>42</v>
      </c>
      <c r="D242" s="2">
        <v>1</v>
      </c>
      <c r="E242">
        <f>VLOOKUP(C242,'Non-medicinal details'!$A$1:$E$12,4,FALSE)</f>
        <v>50</v>
      </c>
      <c r="F242">
        <f t="shared" si="7"/>
        <v>50</v>
      </c>
      <c r="G242" t="str">
        <f>VLOOKUP(C242,'Non-medicinal details'!$A$1:$E$12,3,FALSE)</f>
        <v>Hygiene</v>
      </c>
      <c r="H242">
        <f>F242-(VLOOKUP(C242,'Non-medicinal details'!$A$1:$E$12,5,FALSE)*D242)</f>
        <v>12</v>
      </c>
    </row>
    <row r="243" spans="1:8" x14ac:dyDescent="0.3">
      <c r="A243" s="9">
        <v>45818</v>
      </c>
      <c r="B243" s="9" t="str">
        <f t="shared" si="6"/>
        <v>Tuesday</v>
      </c>
      <c r="C243" s="2" t="s">
        <v>43</v>
      </c>
      <c r="D243" s="2">
        <v>1</v>
      </c>
      <c r="E243">
        <f>VLOOKUP(C243,'Non-medicinal details'!$A$1:$E$12,4,FALSE)</f>
        <v>250</v>
      </c>
      <c r="F243">
        <f t="shared" si="7"/>
        <v>250</v>
      </c>
      <c r="G243" t="str">
        <f>VLOOKUP(C243,'Non-medicinal details'!$A$1:$E$12,3,FALSE)</f>
        <v>Nutritional powders</v>
      </c>
      <c r="H243">
        <f>F243-(VLOOKUP(C243,'Non-medicinal details'!$A$1:$E$12,5,FALSE)*D243)</f>
        <v>40</v>
      </c>
    </row>
    <row r="244" spans="1:8" x14ac:dyDescent="0.3">
      <c r="A244" s="9">
        <v>45818</v>
      </c>
      <c r="B244" s="9" t="str">
        <f t="shared" si="6"/>
        <v>Tuesday</v>
      </c>
      <c r="C244" s="2" t="s">
        <v>44</v>
      </c>
      <c r="D244" s="2">
        <v>0</v>
      </c>
      <c r="E244">
        <f>VLOOKUP(C244,'Non-medicinal details'!$A$1:$E$12,4,FALSE)</f>
        <v>249</v>
      </c>
      <c r="F244">
        <f t="shared" si="7"/>
        <v>0</v>
      </c>
      <c r="G244" t="str">
        <f>VLOOKUP(C244,'Non-medicinal details'!$A$1:$E$12,3,FALSE)</f>
        <v>Nutritional powders</v>
      </c>
      <c r="H244">
        <f>F244-(VLOOKUP(C244,'Non-medicinal details'!$A$1:$E$12,5,FALSE)*D244)</f>
        <v>0</v>
      </c>
    </row>
    <row r="245" spans="1:8" x14ac:dyDescent="0.3">
      <c r="A245" s="9">
        <v>45819</v>
      </c>
      <c r="B245" s="9" t="str">
        <f t="shared" si="6"/>
        <v>Wednesday</v>
      </c>
      <c r="C245" s="2" t="s">
        <v>33</v>
      </c>
      <c r="D245" s="2">
        <v>0</v>
      </c>
      <c r="E245">
        <f>VLOOKUP(C245,'Non-medicinal details'!$A$1:$E$12,4,FALSE)</f>
        <v>520</v>
      </c>
      <c r="F245">
        <f t="shared" si="7"/>
        <v>0</v>
      </c>
      <c r="G245" t="str">
        <f>VLOOKUP(C245,'Non-medicinal details'!$A$1:$E$12,3,FALSE)</f>
        <v>Hair Care</v>
      </c>
      <c r="H245">
        <f>F245-(VLOOKUP(C245,'Non-medicinal details'!$A$1:$E$12,5,FALSE)*D245)</f>
        <v>0</v>
      </c>
    </row>
    <row r="246" spans="1:8" x14ac:dyDescent="0.3">
      <c r="A246" s="9">
        <v>45819</v>
      </c>
      <c r="B246" s="9" t="str">
        <f t="shared" si="6"/>
        <v>Wednesday</v>
      </c>
      <c r="C246" s="2" t="s">
        <v>34</v>
      </c>
      <c r="D246" s="2">
        <v>0</v>
      </c>
      <c r="E246">
        <f>VLOOKUP(C246,'Non-medicinal details'!$A$1:$E$12,4,FALSE)</f>
        <v>248</v>
      </c>
      <c r="F246">
        <f t="shared" si="7"/>
        <v>0</v>
      </c>
      <c r="G246" t="str">
        <f>VLOOKUP(C246,'Non-medicinal details'!$A$1:$E$12,3,FALSE)</f>
        <v>Hair Care</v>
      </c>
      <c r="H246">
        <f>F246-(VLOOKUP(C246,'Non-medicinal details'!$A$1:$E$12,5,FALSE)*D246)</f>
        <v>0</v>
      </c>
    </row>
    <row r="247" spans="1:8" x14ac:dyDescent="0.3">
      <c r="A247" s="9">
        <v>45819</v>
      </c>
      <c r="B247" s="9" t="str">
        <f t="shared" si="6"/>
        <v>Wednesday</v>
      </c>
      <c r="C247" s="2" t="s">
        <v>35</v>
      </c>
      <c r="D247" s="2">
        <v>0</v>
      </c>
      <c r="E247">
        <f>VLOOKUP(C247,'Non-medicinal details'!$A$1:$E$12,4,FALSE)</f>
        <v>200</v>
      </c>
      <c r="F247">
        <f t="shared" si="7"/>
        <v>0</v>
      </c>
      <c r="G247" t="str">
        <f>VLOOKUP(C247,'Non-medicinal details'!$A$1:$E$12,3,FALSE)</f>
        <v>Oral Care</v>
      </c>
      <c r="H247">
        <f>F247-(VLOOKUP(C247,'Non-medicinal details'!$A$1:$E$12,5,FALSE)*D247)</f>
        <v>0</v>
      </c>
    </row>
    <row r="248" spans="1:8" x14ac:dyDescent="0.3">
      <c r="A248" s="9">
        <v>45819</v>
      </c>
      <c r="B248" s="9" t="str">
        <f t="shared" si="6"/>
        <v>Wednesday</v>
      </c>
      <c r="C248" s="2" t="s">
        <v>37</v>
      </c>
      <c r="D248" s="2">
        <v>0</v>
      </c>
      <c r="E248">
        <f>VLOOKUP(C248,'Non-medicinal details'!$A$1:$E$12,4,FALSE)</f>
        <v>46</v>
      </c>
      <c r="F248">
        <f t="shared" si="7"/>
        <v>0</v>
      </c>
      <c r="G248" t="str">
        <f>VLOOKUP(C248,'Non-medicinal details'!$A$1:$E$12,3,FALSE)</f>
        <v>Oral Care</v>
      </c>
      <c r="H248">
        <f>F248-(VLOOKUP(C248,'Non-medicinal details'!$A$1:$E$12,5,FALSE)*D248)</f>
        <v>0</v>
      </c>
    </row>
    <row r="249" spans="1:8" x14ac:dyDescent="0.3">
      <c r="A249" s="9">
        <v>45819</v>
      </c>
      <c r="B249" s="9" t="str">
        <f t="shared" si="6"/>
        <v>Wednesday</v>
      </c>
      <c r="C249" s="2" t="s">
        <v>38</v>
      </c>
      <c r="D249" s="2">
        <v>0</v>
      </c>
      <c r="E249">
        <f>VLOOKUP(C249,'Non-medicinal details'!$A$1:$E$12,4,FALSE)</f>
        <v>95</v>
      </c>
      <c r="F249">
        <f t="shared" si="7"/>
        <v>0</v>
      </c>
      <c r="G249" t="str">
        <f>VLOOKUP(C249,'Non-medicinal details'!$A$1:$E$12,3,FALSE)</f>
        <v>Skin Care</v>
      </c>
      <c r="H249">
        <f>F249-(VLOOKUP(C249,'Non-medicinal details'!$A$1:$E$12,5,FALSE)*D249)</f>
        <v>0</v>
      </c>
    </row>
    <row r="250" spans="1:8" x14ac:dyDescent="0.3">
      <c r="A250" s="9">
        <v>45819</v>
      </c>
      <c r="B250" s="9" t="str">
        <f t="shared" si="6"/>
        <v>Wednesday</v>
      </c>
      <c r="C250" s="2" t="s">
        <v>39</v>
      </c>
      <c r="D250" s="2">
        <v>1</v>
      </c>
      <c r="E250">
        <f>VLOOKUP(C250,'Non-medicinal details'!$A$1:$E$12,4,FALSE)</f>
        <v>35</v>
      </c>
      <c r="F250">
        <f t="shared" si="7"/>
        <v>35</v>
      </c>
      <c r="G250" t="str">
        <f>VLOOKUP(C250,'Non-medicinal details'!$A$1:$E$12,3,FALSE)</f>
        <v>Skin Care</v>
      </c>
      <c r="H250">
        <f>F250-(VLOOKUP(C250,'Non-medicinal details'!$A$1:$E$12,5,FALSE)*D250)</f>
        <v>7</v>
      </c>
    </row>
    <row r="251" spans="1:8" x14ac:dyDescent="0.3">
      <c r="A251" s="9">
        <v>45819</v>
      </c>
      <c r="B251" s="9" t="str">
        <f t="shared" si="6"/>
        <v>Wednesday</v>
      </c>
      <c r="C251" s="2" t="s">
        <v>40</v>
      </c>
      <c r="D251" s="2">
        <v>0</v>
      </c>
      <c r="E251">
        <f>VLOOKUP(C251,'Non-medicinal details'!$A$1:$E$12,4,FALSE)</f>
        <v>60</v>
      </c>
      <c r="F251">
        <f t="shared" si="7"/>
        <v>0</v>
      </c>
      <c r="G251" t="str">
        <f>VLOOKUP(C251,'Non-medicinal details'!$A$1:$E$12,3,FALSE)</f>
        <v>Baby and Child Care</v>
      </c>
      <c r="H251">
        <f>F251-(VLOOKUP(C251,'Non-medicinal details'!$A$1:$E$12,5,FALSE)*D251)</f>
        <v>0</v>
      </c>
    </row>
    <row r="252" spans="1:8" x14ac:dyDescent="0.3">
      <c r="A252" s="9">
        <v>45819</v>
      </c>
      <c r="B252" s="9" t="str">
        <f t="shared" si="6"/>
        <v>Wednesday</v>
      </c>
      <c r="C252" s="2" t="s">
        <v>41</v>
      </c>
      <c r="D252" s="2">
        <v>0</v>
      </c>
      <c r="E252">
        <f>VLOOKUP(C252,'Non-medicinal details'!$A$1:$E$12,4,FALSE)</f>
        <v>120</v>
      </c>
      <c r="F252">
        <f t="shared" si="7"/>
        <v>0</v>
      </c>
      <c r="G252" t="str">
        <f>VLOOKUP(C252,'Non-medicinal details'!$A$1:$E$12,3,FALSE)</f>
        <v>Baby and Child Care</v>
      </c>
      <c r="H252">
        <f>F252-(VLOOKUP(C252,'Non-medicinal details'!$A$1:$E$12,5,FALSE)*D252)</f>
        <v>0</v>
      </c>
    </row>
    <row r="253" spans="1:8" x14ac:dyDescent="0.3">
      <c r="A253" s="9">
        <v>45819</v>
      </c>
      <c r="B253" s="9" t="str">
        <f t="shared" si="6"/>
        <v>Wednesday</v>
      </c>
      <c r="C253" s="2" t="s">
        <v>42</v>
      </c>
      <c r="D253" s="2">
        <v>1</v>
      </c>
      <c r="E253">
        <f>VLOOKUP(C253,'Non-medicinal details'!$A$1:$E$12,4,FALSE)</f>
        <v>50</v>
      </c>
      <c r="F253">
        <f t="shared" si="7"/>
        <v>50</v>
      </c>
      <c r="G253" t="str">
        <f>VLOOKUP(C253,'Non-medicinal details'!$A$1:$E$12,3,FALSE)</f>
        <v>Hygiene</v>
      </c>
      <c r="H253">
        <f>F253-(VLOOKUP(C253,'Non-medicinal details'!$A$1:$E$12,5,FALSE)*D253)</f>
        <v>12</v>
      </c>
    </row>
    <row r="254" spans="1:8" x14ac:dyDescent="0.3">
      <c r="A254" s="9">
        <v>45819</v>
      </c>
      <c r="B254" s="9" t="str">
        <f t="shared" si="6"/>
        <v>Wednesday</v>
      </c>
      <c r="C254" s="2" t="s">
        <v>43</v>
      </c>
      <c r="D254" s="2">
        <v>0</v>
      </c>
      <c r="E254">
        <f>VLOOKUP(C254,'Non-medicinal details'!$A$1:$E$12,4,FALSE)</f>
        <v>250</v>
      </c>
      <c r="F254">
        <f t="shared" si="7"/>
        <v>0</v>
      </c>
      <c r="G254" t="str">
        <f>VLOOKUP(C254,'Non-medicinal details'!$A$1:$E$12,3,FALSE)</f>
        <v>Nutritional powders</v>
      </c>
      <c r="H254">
        <f>F254-(VLOOKUP(C254,'Non-medicinal details'!$A$1:$E$12,5,FALSE)*D254)</f>
        <v>0</v>
      </c>
    </row>
    <row r="255" spans="1:8" x14ac:dyDescent="0.3">
      <c r="A255" s="9">
        <v>45819</v>
      </c>
      <c r="B255" s="9" t="str">
        <f t="shared" si="6"/>
        <v>Wednesday</v>
      </c>
      <c r="C255" s="2" t="s">
        <v>44</v>
      </c>
      <c r="D255" s="2">
        <v>0</v>
      </c>
      <c r="E255">
        <f>VLOOKUP(C255,'Non-medicinal details'!$A$1:$E$12,4,FALSE)</f>
        <v>249</v>
      </c>
      <c r="F255">
        <f t="shared" si="7"/>
        <v>0</v>
      </c>
      <c r="G255" t="str">
        <f>VLOOKUP(C255,'Non-medicinal details'!$A$1:$E$12,3,FALSE)</f>
        <v>Nutritional powders</v>
      </c>
      <c r="H255">
        <f>F255-(VLOOKUP(C255,'Non-medicinal details'!$A$1:$E$12,5,FALSE)*D255)</f>
        <v>0</v>
      </c>
    </row>
    <row r="256" spans="1:8" x14ac:dyDescent="0.3">
      <c r="A256" s="9">
        <v>45820</v>
      </c>
      <c r="B256" s="9" t="str">
        <f t="shared" si="6"/>
        <v>Thursday</v>
      </c>
      <c r="C256" s="2" t="s">
        <v>33</v>
      </c>
      <c r="D256" s="2">
        <v>0</v>
      </c>
      <c r="E256">
        <f>VLOOKUP(C256,'Non-medicinal details'!$A$1:$E$12,4,FALSE)</f>
        <v>520</v>
      </c>
      <c r="F256">
        <f t="shared" si="7"/>
        <v>0</v>
      </c>
      <c r="G256" t="str">
        <f>VLOOKUP(C256,'Non-medicinal details'!$A$1:$E$12,3,FALSE)</f>
        <v>Hair Care</v>
      </c>
      <c r="H256">
        <f>F256-(VLOOKUP(C256,'Non-medicinal details'!$A$1:$E$12,5,FALSE)*D256)</f>
        <v>0</v>
      </c>
    </row>
    <row r="257" spans="1:8" x14ac:dyDescent="0.3">
      <c r="A257" s="9">
        <v>45820</v>
      </c>
      <c r="B257" s="9" t="str">
        <f t="shared" si="6"/>
        <v>Thursday</v>
      </c>
      <c r="C257" s="2" t="s">
        <v>34</v>
      </c>
      <c r="D257" s="2">
        <v>2</v>
      </c>
      <c r="E257">
        <f>VLOOKUP(C257,'Non-medicinal details'!$A$1:$E$12,4,FALSE)</f>
        <v>248</v>
      </c>
      <c r="F257">
        <f t="shared" si="7"/>
        <v>496</v>
      </c>
      <c r="G257" t="str">
        <f>VLOOKUP(C257,'Non-medicinal details'!$A$1:$E$12,3,FALSE)</f>
        <v>Hair Care</v>
      </c>
      <c r="H257">
        <f>F257-(VLOOKUP(C257,'Non-medicinal details'!$A$1:$E$12,5,FALSE)*D257)</f>
        <v>176</v>
      </c>
    </row>
    <row r="258" spans="1:8" x14ac:dyDescent="0.3">
      <c r="A258" s="9">
        <v>45820</v>
      </c>
      <c r="B258" s="9" t="str">
        <f t="shared" si="6"/>
        <v>Thursday</v>
      </c>
      <c r="C258" s="2" t="s">
        <v>35</v>
      </c>
      <c r="D258" s="2">
        <v>1</v>
      </c>
      <c r="E258">
        <f>VLOOKUP(C258,'Non-medicinal details'!$A$1:$E$12,4,FALSE)</f>
        <v>200</v>
      </c>
      <c r="F258">
        <f t="shared" si="7"/>
        <v>200</v>
      </c>
      <c r="G258" t="str">
        <f>VLOOKUP(C258,'Non-medicinal details'!$A$1:$E$12,3,FALSE)</f>
        <v>Oral Care</v>
      </c>
      <c r="H258">
        <f>F258-(VLOOKUP(C258,'Non-medicinal details'!$A$1:$E$12,5,FALSE)*D258)</f>
        <v>20</v>
      </c>
    </row>
    <row r="259" spans="1:8" x14ac:dyDescent="0.3">
      <c r="A259" s="9">
        <v>45820</v>
      </c>
      <c r="B259" s="9" t="str">
        <f t="shared" si="6"/>
        <v>Thursday</v>
      </c>
      <c r="C259" s="2" t="s">
        <v>37</v>
      </c>
      <c r="D259" s="2">
        <v>0</v>
      </c>
      <c r="E259">
        <f>VLOOKUP(C259,'Non-medicinal details'!$A$1:$E$12,4,FALSE)</f>
        <v>46</v>
      </c>
      <c r="F259">
        <f t="shared" si="7"/>
        <v>0</v>
      </c>
      <c r="G259" t="str">
        <f>VLOOKUP(C259,'Non-medicinal details'!$A$1:$E$12,3,FALSE)</f>
        <v>Oral Care</v>
      </c>
      <c r="H259">
        <f>F259-(VLOOKUP(C259,'Non-medicinal details'!$A$1:$E$12,5,FALSE)*D259)</f>
        <v>0</v>
      </c>
    </row>
    <row r="260" spans="1:8" x14ac:dyDescent="0.3">
      <c r="A260" s="9">
        <v>45820</v>
      </c>
      <c r="B260" s="9" t="str">
        <f t="shared" ref="B260:B323" si="8">TEXT(A260,"dddd")</f>
        <v>Thursday</v>
      </c>
      <c r="C260" s="2" t="s">
        <v>38</v>
      </c>
      <c r="D260" s="2">
        <v>0</v>
      </c>
      <c r="E260">
        <f>VLOOKUP(C260,'Non-medicinal details'!$A$1:$E$12,4,FALSE)</f>
        <v>95</v>
      </c>
      <c r="F260">
        <f t="shared" ref="F260:F323" si="9">D260*E260</f>
        <v>0</v>
      </c>
      <c r="G260" t="str">
        <f>VLOOKUP(C260,'Non-medicinal details'!$A$1:$E$12,3,FALSE)</f>
        <v>Skin Care</v>
      </c>
      <c r="H260">
        <f>F260-(VLOOKUP(C260,'Non-medicinal details'!$A$1:$E$12,5,FALSE)*D260)</f>
        <v>0</v>
      </c>
    </row>
    <row r="261" spans="1:8" x14ac:dyDescent="0.3">
      <c r="A261" s="9">
        <v>45820</v>
      </c>
      <c r="B261" s="9" t="str">
        <f t="shared" si="8"/>
        <v>Thursday</v>
      </c>
      <c r="C261" s="2" t="s">
        <v>39</v>
      </c>
      <c r="D261" s="2">
        <v>0</v>
      </c>
      <c r="E261">
        <f>VLOOKUP(C261,'Non-medicinal details'!$A$1:$E$12,4,FALSE)</f>
        <v>35</v>
      </c>
      <c r="F261">
        <f t="shared" si="9"/>
        <v>0</v>
      </c>
      <c r="G261" t="str">
        <f>VLOOKUP(C261,'Non-medicinal details'!$A$1:$E$12,3,FALSE)</f>
        <v>Skin Care</v>
      </c>
      <c r="H261">
        <f>F261-(VLOOKUP(C261,'Non-medicinal details'!$A$1:$E$12,5,FALSE)*D261)</f>
        <v>0</v>
      </c>
    </row>
    <row r="262" spans="1:8" x14ac:dyDescent="0.3">
      <c r="A262" s="9">
        <v>45820</v>
      </c>
      <c r="B262" s="9" t="str">
        <f t="shared" si="8"/>
        <v>Thursday</v>
      </c>
      <c r="C262" s="2" t="s">
        <v>40</v>
      </c>
      <c r="D262" s="2">
        <v>0</v>
      </c>
      <c r="E262">
        <f>VLOOKUP(C262,'Non-medicinal details'!$A$1:$E$12,4,FALSE)</f>
        <v>60</v>
      </c>
      <c r="F262">
        <f t="shared" si="9"/>
        <v>0</v>
      </c>
      <c r="G262" t="str">
        <f>VLOOKUP(C262,'Non-medicinal details'!$A$1:$E$12,3,FALSE)</f>
        <v>Baby and Child Care</v>
      </c>
      <c r="H262">
        <f>F262-(VLOOKUP(C262,'Non-medicinal details'!$A$1:$E$12,5,FALSE)*D262)</f>
        <v>0</v>
      </c>
    </row>
    <row r="263" spans="1:8" x14ac:dyDescent="0.3">
      <c r="A263" s="9">
        <v>45820</v>
      </c>
      <c r="B263" s="9" t="str">
        <f t="shared" si="8"/>
        <v>Thursday</v>
      </c>
      <c r="C263" s="2" t="s">
        <v>41</v>
      </c>
      <c r="D263" s="2">
        <v>0</v>
      </c>
      <c r="E263">
        <f>VLOOKUP(C263,'Non-medicinal details'!$A$1:$E$12,4,FALSE)</f>
        <v>120</v>
      </c>
      <c r="F263">
        <f t="shared" si="9"/>
        <v>0</v>
      </c>
      <c r="G263" t="str">
        <f>VLOOKUP(C263,'Non-medicinal details'!$A$1:$E$12,3,FALSE)</f>
        <v>Baby and Child Care</v>
      </c>
      <c r="H263">
        <f>F263-(VLOOKUP(C263,'Non-medicinal details'!$A$1:$E$12,5,FALSE)*D263)</f>
        <v>0</v>
      </c>
    </row>
    <row r="264" spans="1:8" x14ac:dyDescent="0.3">
      <c r="A264" s="9">
        <v>45820</v>
      </c>
      <c r="B264" s="9" t="str">
        <f t="shared" si="8"/>
        <v>Thursday</v>
      </c>
      <c r="C264" s="2" t="s">
        <v>42</v>
      </c>
      <c r="D264" s="2">
        <v>1</v>
      </c>
      <c r="E264">
        <f>VLOOKUP(C264,'Non-medicinal details'!$A$1:$E$12,4,FALSE)</f>
        <v>50</v>
      </c>
      <c r="F264">
        <f t="shared" si="9"/>
        <v>50</v>
      </c>
      <c r="G264" t="str">
        <f>VLOOKUP(C264,'Non-medicinal details'!$A$1:$E$12,3,FALSE)</f>
        <v>Hygiene</v>
      </c>
      <c r="H264">
        <f>F264-(VLOOKUP(C264,'Non-medicinal details'!$A$1:$E$12,5,FALSE)*D264)</f>
        <v>12</v>
      </c>
    </row>
    <row r="265" spans="1:8" x14ac:dyDescent="0.3">
      <c r="A265" s="9">
        <v>45820</v>
      </c>
      <c r="B265" s="9" t="str">
        <f t="shared" si="8"/>
        <v>Thursday</v>
      </c>
      <c r="C265" s="2" t="s">
        <v>43</v>
      </c>
      <c r="D265" s="2">
        <v>0</v>
      </c>
      <c r="E265">
        <f>VLOOKUP(C265,'Non-medicinal details'!$A$1:$E$12,4,FALSE)</f>
        <v>250</v>
      </c>
      <c r="F265">
        <f t="shared" si="9"/>
        <v>0</v>
      </c>
      <c r="G265" t="str">
        <f>VLOOKUP(C265,'Non-medicinal details'!$A$1:$E$12,3,FALSE)</f>
        <v>Nutritional powders</v>
      </c>
      <c r="H265">
        <f>F265-(VLOOKUP(C265,'Non-medicinal details'!$A$1:$E$12,5,FALSE)*D265)</f>
        <v>0</v>
      </c>
    </row>
    <row r="266" spans="1:8" x14ac:dyDescent="0.3">
      <c r="A266" s="9">
        <v>45820</v>
      </c>
      <c r="B266" s="9" t="str">
        <f t="shared" si="8"/>
        <v>Thursday</v>
      </c>
      <c r="C266" s="2" t="s">
        <v>44</v>
      </c>
      <c r="D266" s="2">
        <v>1</v>
      </c>
      <c r="E266">
        <f>VLOOKUP(C266,'Non-medicinal details'!$A$1:$E$12,4,FALSE)</f>
        <v>249</v>
      </c>
      <c r="F266">
        <f t="shared" si="9"/>
        <v>249</v>
      </c>
      <c r="G266" t="str">
        <f>VLOOKUP(C266,'Non-medicinal details'!$A$1:$E$12,3,FALSE)</f>
        <v>Nutritional powders</v>
      </c>
      <c r="H266">
        <f>F266-(VLOOKUP(C266,'Non-medicinal details'!$A$1:$E$12,5,FALSE)*D266)</f>
        <v>49</v>
      </c>
    </row>
    <row r="267" spans="1:8" x14ac:dyDescent="0.3">
      <c r="A267" s="9">
        <v>45821</v>
      </c>
      <c r="B267" s="9" t="str">
        <f t="shared" si="8"/>
        <v>Friday</v>
      </c>
      <c r="C267" s="2" t="s">
        <v>33</v>
      </c>
      <c r="D267" s="2">
        <v>0</v>
      </c>
      <c r="E267">
        <f>VLOOKUP(C267,'Non-medicinal details'!$A$1:$E$12,4,FALSE)</f>
        <v>520</v>
      </c>
      <c r="F267">
        <f t="shared" si="9"/>
        <v>0</v>
      </c>
      <c r="G267" t="str">
        <f>VLOOKUP(C267,'Non-medicinal details'!$A$1:$E$12,3,FALSE)</f>
        <v>Hair Care</v>
      </c>
      <c r="H267">
        <f>F267-(VLOOKUP(C267,'Non-medicinal details'!$A$1:$E$12,5,FALSE)*D267)</f>
        <v>0</v>
      </c>
    </row>
    <row r="268" spans="1:8" x14ac:dyDescent="0.3">
      <c r="A268" s="9">
        <v>45821</v>
      </c>
      <c r="B268" s="9" t="str">
        <f t="shared" si="8"/>
        <v>Friday</v>
      </c>
      <c r="C268" s="2" t="s">
        <v>34</v>
      </c>
      <c r="D268" s="2">
        <v>0</v>
      </c>
      <c r="E268">
        <f>VLOOKUP(C268,'Non-medicinal details'!$A$1:$E$12,4,FALSE)</f>
        <v>248</v>
      </c>
      <c r="F268">
        <f t="shared" si="9"/>
        <v>0</v>
      </c>
      <c r="G268" t="str">
        <f>VLOOKUP(C268,'Non-medicinal details'!$A$1:$E$12,3,FALSE)</f>
        <v>Hair Care</v>
      </c>
      <c r="H268">
        <f>F268-(VLOOKUP(C268,'Non-medicinal details'!$A$1:$E$12,5,FALSE)*D268)</f>
        <v>0</v>
      </c>
    </row>
    <row r="269" spans="1:8" x14ac:dyDescent="0.3">
      <c r="A269" s="9">
        <v>45821</v>
      </c>
      <c r="B269" s="9" t="str">
        <f t="shared" si="8"/>
        <v>Friday</v>
      </c>
      <c r="C269" s="2" t="s">
        <v>35</v>
      </c>
      <c r="D269" s="2">
        <v>0</v>
      </c>
      <c r="E269">
        <f>VLOOKUP(C269,'Non-medicinal details'!$A$1:$E$12,4,FALSE)</f>
        <v>200</v>
      </c>
      <c r="F269">
        <f t="shared" si="9"/>
        <v>0</v>
      </c>
      <c r="G269" t="str">
        <f>VLOOKUP(C269,'Non-medicinal details'!$A$1:$E$12,3,FALSE)</f>
        <v>Oral Care</v>
      </c>
      <c r="H269">
        <f>F269-(VLOOKUP(C269,'Non-medicinal details'!$A$1:$E$12,5,FALSE)*D269)</f>
        <v>0</v>
      </c>
    </row>
    <row r="270" spans="1:8" x14ac:dyDescent="0.3">
      <c r="A270" s="9">
        <v>45821</v>
      </c>
      <c r="B270" s="9" t="str">
        <f t="shared" si="8"/>
        <v>Friday</v>
      </c>
      <c r="C270" s="2" t="s">
        <v>37</v>
      </c>
      <c r="D270" s="2">
        <v>0</v>
      </c>
      <c r="E270">
        <f>VLOOKUP(C270,'Non-medicinal details'!$A$1:$E$12,4,FALSE)</f>
        <v>46</v>
      </c>
      <c r="F270">
        <f t="shared" si="9"/>
        <v>0</v>
      </c>
      <c r="G270" t="str">
        <f>VLOOKUP(C270,'Non-medicinal details'!$A$1:$E$12,3,FALSE)</f>
        <v>Oral Care</v>
      </c>
      <c r="H270">
        <f>F270-(VLOOKUP(C270,'Non-medicinal details'!$A$1:$E$12,5,FALSE)*D270)</f>
        <v>0</v>
      </c>
    </row>
    <row r="271" spans="1:8" x14ac:dyDescent="0.3">
      <c r="A271" s="9">
        <v>45821</v>
      </c>
      <c r="B271" s="9" t="str">
        <f t="shared" si="8"/>
        <v>Friday</v>
      </c>
      <c r="C271" s="2" t="s">
        <v>38</v>
      </c>
      <c r="D271" s="2">
        <v>1</v>
      </c>
      <c r="E271">
        <f>VLOOKUP(C271,'Non-medicinal details'!$A$1:$E$12,4,FALSE)</f>
        <v>95</v>
      </c>
      <c r="F271">
        <f t="shared" si="9"/>
        <v>95</v>
      </c>
      <c r="G271" t="str">
        <f>VLOOKUP(C271,'Non-medicinal details'!$A$1:$E$12,3,FALSE)</f>
        <v>Skin Care</v>
      </c>
      <c r="H271">
        <f>F271-(VLOOKUP(C271,'Non-medicinal details'!$A$1:$E$12,5,FALSE)*D271)</f>
        <v>10</v>
      </c>
    </row>
    <row r="272" spans="1:8" x14ac:dyDescent="0.3">
      <c r="A272" s="9">
        <v>45821</v>
      </c>
      <c r="B272" s="9" t="str">
        <f t="shared" si="8"/>
        <v>Friday</v>
      </c>
      <c r="C272" s="2" t="s">
        <v>39</v>
      </c>
      <c r="D272" s="2">
        <v>0</v>
      </c>
      <c r="E272">
        <f>VLOOKUP(C272,'Non-medicinal details'!$A$1:$E$12,4,FALSE)</f>
        <v>35</v>
      </c>
      <c r="F272">
        <f t="shared" si="9"/>
        <v>0</v>
      </c>
      <c r="G272" t="str">
        <f>VLOOKUP(C272,'Non-medicinal details'!$A$1:$E$12,3,FALSE)</f>
        <v>Skin Care</v>
      </c>
      <c r="H272">
        <f>F272-(VLOOKUP(C272,'Non-medicinal details'!$A$1:$E$12,5,FALSE)*D272)</f>
        <v>0</v>
      </c>
    </row>
    <row r="273" spans="1:8" x14ac:dyDescent="0.3">
      <c r="A273" s="9">
        <v>45821</v>
      </c>
      <c r="B273" s="9" t="str">
        <f t="shared" si="8"/>
        <v>Friday</v>
      </c>
      <c r="C273" s="2" t="s">
        <v>40</v>
      </c>
      <c r="D273" s="2">
        <v>2</v>
      </c>
      <c r="E273">
        <f>VLOOKUP(C273,'Non-medicinal details'!$A$1:$E$12,4,FALSE)</f>
        <v>60</v>
      </c>
      <c r="F273">
        <f t="shared" si="9"/>
        <v>120</v>
      </c>
      <c r="G273" t="str">
        <f>VLOOKUP(C273,'Non-medicinal details'!$A$1:$E$12,3,FALSE)</f>
        <v>Baby and Child Care</v>
      </c>
      <c r="H273">
        <f>F273-(VLOOKUP(C273,'Non-medicinal details'!$A$1:$E$12,5,FALSE)*D273)</f>
        <v>40</v>
      </c>
    </row>
    <row r="274" spans="1:8" x14ac:dyDescent="0.3">
      <c r="A274" s="9">
        <v>45821</v>
      </c>
      <c r="B274" s="9" t="str">
        <f t="shared" si="8"/>
        <v>Friday</v>
      </c>
      <c r="C274" s="2" t="s">
        <v>41</v>
      </c>
      <c r="D274" s="2">
        <v>0</v>
      </c>
      <c r="E274">
        <f>VLOOKUP(C274,'Non-medicinal details'!$A$1:$E$12,4,FALSE)</f>
        <v>120</v>
      </c>
      <c r="F274">
        <f t="shared" si="9"/>
        <v>0</v>
      </c>
      <c r="G274" t="str">
        <f>VLOOKUP(C274,'Non-medicinal details'!$A$1:$E$12,3,FALSE)</f>
        <v>Baby and Child Care</v>
      </c>
      <c r="H274">
        <f>F274-(VLOOKUP(C274,'Non-medicinal details'!$A$1:$E$12,5,FALSE)*D274)</f>
        <v>0</v>
      </c>
    </row>
    <row r="275" spans="1:8" x14ac:dyDescent="0.3">
      <c r="A275" s="9">
        <v>45821</v>
      </c>
      <c r="B275" s="9" t="str">
        <f t="shared" si="8"/>
        <v>Friday</v>
      </c>
      <c r="C275" s="2" t="s">
        <v>42</v>
      </c>
      <c r="D275" s="2">
        <v>0</v>
      </c>
      <c r="E275">
        <f>VLOOKUP(C275,'Non-medicinal details'!$A$1:$E$12,4,FALSE)</f>
        <v>50</v>
      </c>
      <c r="F275">
        <f t="shared" si="9"/>
        <v>0</v>
      </c>
      <c r="G275" t="str">
        <f>VLOOKUP(C275,'Non-medicinal details'!$A$1:$E$12,3,FALSE)</f>
        <v>Hygiene</v>
      </c>
      <c r="H275">
        <f>F275-(VLOOKUP(C275,'Non-medicinal details'!$A$1:$E$12,5,FALSE)*D275)</f>
        <v>0</v>
      </c>
    </row>
    <row r="276" spans="1:8" x14ac:dyDescent="0.3">
      <c r="A276" s="9">
        <v>45821</v>
      </c>
      <c r="B276" s="9" t="str">
        <f t="shared" si="8"/>
        <v>Friday</v>
      </c>
      <c r="C276" s="2" t="s">
        <v>43</v>
      </c>
      <c r="D276" s="2">
        <v>1</v>
      </c>
      <c r="E276">
        <f>VLOOKUP(C276,'Non-medicinal details'!$A$1:$E$12,4,FALSE)</f>
        <v>250</v>
      </c>
      <c r="F276">
        <f t="shared" si="9"/>
        <v>250</v>
      </c>
      <c r="G276" t="str">
        <f>VLOOKUP(C276,'Non-medicinal details'!$A$1:$E$12,3,FALSE)</f>
        <v>Nutritional powders</v>
      </c>
      <c r="H276">
        <f>F276-(VLOOKUP(C276,'Non-medicinal details'!$A$1:$E$12,5,FALSE)*D276)</f>
        <v>40</v>
      </c>
    </row>
    <row r="277" spans="1:8" x14ac:dyDescent="0.3">
      <c r="A277" s="9">
        <v>45821</v>
      </c>
      <c r="B277" s="9" t="str">
        <f t="shared" si="8"/>
        <v>Friday</v>
      </c>
      <c r="C277" s="2" t="s">
        <v>44</v>
      </c>
      <c r="D277" s="2">
        <v>2</v>
      </c>
      <c r="E277">
        <f>VLOOKUP(C277,'Non-medicinal details'!$A$1:$E$12,4,FALSE)</f>
        <v>249</v>
      </c>
      <c r="F277">
        <f t="shared" si="9"/>
        <v>498</v>
      </c>
      <c r="G277" t="str">
        <f>VLOOKUP(C277,'Non-medicinal details'!$A$1:$E$12,3,FALSE)</f>
        <v>Nutritional powders</v>
      </c>
      <c r="H277">
        <f>F277-(VLOOKUP(C277,'Non-medicinal details'!$A$1:$E$12,5,FALSE)*D277)</f>
        <v>98</v>
      </c>
    </row>
    <row r="278" spans="1:8" x14ac:dyDescent="0.3">
      <c r="A278" s="9">
        <v>45822</v>
      </c>
      <c r="B278" s="9" t="str">
        <f t="shared" si="8"/>
        <v>Saturday</v>
      </c>
      <c r="C278" s="2" t="s">
        <v>33</v>
      </c>
      <c r="D278" s="2">
        <v>0</v>
      </c>
      <c r="E278">
        <f>VLOOKUP(C278,'Non-medicinal details'!$A$1:$E$12,4,FALSE)</f>
        <v>520</v>
      </c>
      <c r="F278">
        <f t="shared" si="9"/>
        <v>0</v>
      </c>
      <c r="G278" t="str">
        <f>VLOOKUP(C278,'Non-medicinal details'!$A$1:$E$12,3,FALSE)</f>
        <v>Hair Care</v>
      </c>
      <c r="H278">
        <f>F278-(VLOOKUP(C278,'Non-medicinal details'!$A$1:$E$12,5,FALSE)*D278)</f>
        <v>0</v>
      </c>
    </row>
    <row r="279" spans="1:8" x14ac:dyDescent="0.3">
      <c r="A279" s="9">
        <v>45822</v>
      </c>
      <c r="B279" s="9" t="str">
        <f t="shared" si="8"/>
        <v>Saturday</v>
      </c>
      <c r="C279" s="2" t="s">
        <v>34</v>
      </c>
      <c r="D279" s="2">
        <v>0</v>
      </c>
      <c r="E279">
        <f>VLOOKUP(C279,'Non-medicinal details'!$A$1:$E$12,4,FALSE)</f>
        <v>248</v>
      </c>
      <c r="F279">
        <f t="shared" si="9"/>
        <v>0</v>
      </c>
      <c r="G279" t="str">
        <f>VLOOKUP(C279,'Non-medicinal details'!$A$1:$E$12,3,FALSE)</f>
        <v>Hair Care</v>
      </c>
      <c r="H279">
        <f>F279-(VLOOKUP(C279,'Non-medicinal details'!$A$1:$E$12,5,FALSE)*D279)</f>
        <v>0</v>
      </c>
    </row>
    <row r="280" spans="1:8" x14ac:dyDescent="0.3">
      <c r="A280" s="9">
        <v>45822</v>
      </c>
      <c r="B280" s="9" t="str">
        <f t="shared" si="8"/>
        <v>Saturday</v>
      </c>
      <c r="C280" s="2" t="s">
        <v>35</v>
      </c>
      <c r="D280" s="2">
        <v>0</v>
      </c>
      <c r="E280">
        <f>VLOOKUP(C280,'Non-medicinal details'!$A$1:$E$12,4,FALSE)</f>
        <v>200</v>
      </c>
      <c r="F280">
        <f t="shared" si="9"/>
        <v>0</v>
      </c>
      <c r="G280" t="str">
        <f>VLOOKUP(C280,'Non-medicinal details'!$A$1:$E$12,3,FALSE)</f>
        <v>Oral Care</v>
      </c>
      <c r="H280">
        <f>F280-(VLOOKUP(C280,'Non-medicinal details'!$A$1:$E$12,5,FALSE)*D280)</f>
        <v>0</v>
      </c>
    </row>
    <row r="281" spans="1:8" x14ac:dyDescent="0.3">
      <c r="A281" s="9">
        <v>45822</v>
      </c>
      <c r="B281" s="9" t="str">
        <f t="shared" si="8"/>
        <v>Saturday</v>
      </c>
      <c r="C281" s="2" t="s">
        <v>37</v>
      </c>
      <c r="D281" s="2">
        <v>5</v>
      </c>
      <c r="E281">
        <f>VLOOKUP(C281,'Non-medicinal details'!$A$1:$E$12,4,FALSE)</f>
        <v>46</v>
      </c>
      <c r="F281">
        <f t="shared" si="9"/>
        <v>230</v>
      </c>
      <c r="G281" t="str">
        <f>VLOOKUP(C281,'Non-medicinal details'!$A$1:$E$12,3,FALSE)</f>
        <v>Oral Care</v>
      </c>
      <c r="H281">
        <f>F281-(VLOOKUP(C281,'Non-medicinal details'!$A$1:$E$12,5,FALSE)*D281)</f>
        <v>80</v>
      </c>
    </row>
    <row r="282" spans="1:8" x14ac:dyDescent="0.3">
      <c r="A282" s="9">
        <v>45822</v>
      </c>
      <c r="B282" s="9" t="str">
        <f t="shared" si="8"/>
        <v>Saturday</v>
      </c>
      <c r="C282" s="2" t="s">
        <v>38</v>
      </c>
      <c r="D282" s="2">
        <v>0</v>
      </c>
      <c r="E282">
        <f>VLOOKUP(C282,'Non-medicinal details'!$A$1:$E$12,4,FALSE)</f>
        <v>95</v>
      </c>
      <c r="F282">
        <f t="shared" si="9"/>
        <v>0</v>
      </c>
      <c r="G282" t="str">
        <f>VLOOKUP(C282,'Non-medicinal details'!$A$1:$E$12,3,FALSE)</f>
        <v>Skin Care</v>
      </c>
      <c r="H282">
        <f>F282-(VLOOKUP(C282,'Non-medicinal details'!$A$1:$E$12,5,FALSE)*D282)</f>
        <v>0</v>
      </c>
    </row>
    <row r="283" spans="1:8" x14ac:dyDescent="0.3">
      <c r="A283" s="9">
        <v>45822</v>
      </c>
      <c r="B283" s="9" t="str">
        <f t="shared" si="8"/>
        <v>Saturday</v>
      </c>
      <c r="C283" s="2" t="s">
        <v>39</v>
      </c>
      <c r="D283" s="2">
        <v>0</v>
      </c>
      <c r="E283">
        <f>VLOOKUP(C283,'Non-medicinal details'!$A$1:$E$12,4,FALSE)</f>
        <v>35</v>
      </c>
      <c r="F283">
        <f t="shared" si="9"/>
        <v>0</v>
      </c>
      <c r="G283" t="str">
        <f>VLOOKUP(C283,'Non-medicinal details'!$A$1:$E$12,3,FALSE)</f>
        <v>Skin Care</v>
      </c>
      <c r="H283">
        <f>F283-(VLOOKUP(C283,'Non-medicinal details'!$A$1:$E$12,5,FALSE)*D283)</f>
        <v>0</v>
      </c>
    </row>
    <row r="284" spans="1:8" x14ac:dyDescent="0.3">
      <c r="A284" s="9">
        <v>45822</v>
      </c>
      <c r="B284" s="9" t="str">
        <f t="shared" si="8"/>
        <v>Saturday</v>
      </c>
      <c r="C284" s="2" t="s">
        <v>40</v>
      </c>
      <c r="D284" s="2">
        <v>1</v>
      </c>
      <c r="E284">
        <f>VLOOKUP(C284,'Non-medicinal details'!$A$1:$E$12,4,FALSE)</f>
        <v>60</v>
      </c>
      <c r="F284">
        <f t="shared" si="9"/>
        <v>60</v>
      </c>
      <c r="G284" t="str">
        <f>VLOOKUP(C284,'Non-medicinal details'!$A$1:$E$12,3,FALSE)</f>
        <v>Baby and Child Care</v>
      </c>
      <c r="H284">
        <f>F284-(VLOOKUP(C284,'Non-medicinal details'!$A$1:$E$12,5,FALSE)*D284)</f>
        <v>20</v>
      </c>
    </row>
    <row r="285" spans="1:8" x14ac:dyDescent="0.3">
      <c r="A285" s="9">
        <v>45822</v>
      </c>
      <c r="B285" s="9" t="str">
        <f t="shared" si="8"/>
        <v>Saturday</v>
      </c>
      <c r="C285" s="2" t="s">
        <v>41</v>
      </c>
      <c r="D285" s="2">
        <v>0</v>
      </c>
      <c r="E285">
        <f>VLOOKUP(C285,'Non-medicinal details'!$A$1:$E$12,4,FALSE)</f>
        <v>120</v>
      </c>
      <c r="F285">
        <f t="shared" si="9"/>
        <v>0</v>
      </c>
      <c r="G285" t="str">
        <f>VLOOKUP(C285,'Non-medicinal details'!$A$1:$E$12,3,FALSE)</f>
        <v>Baby and Child Care</v>
      </c>
      <c r="H285">
        <f>F285-(VLOOKUP(C285,'Non-medicinal details'!$A$1:$E$12,5,FALSE)*D285)</f>
        <v>0</v>
      </c>
    </row>
    <row r="286" spans="1:8" x14ac:dyDescent="0.3">
      <c r="A286" s="9">
        <v>45822</v>
      </c>
      <c r="B286" s="9" t="str">
        <f t="shared" si="8"/>
        <v>Saturday</v>
      </c>
      <c r="C286" s="2" t="s">
        <v>42</v>
      </c>
      <c r="D286" s="2">
        <v>2</v>
      </c>
      <c r="E286">
        <f>VLOOKUP(C286,'Non-medicinal details'!$A$1:$E$12,4,FALSE)</f>
        <v>50</v>
      </c>
      <c r="F286">
        <f t="shared" si="9"/>
        <v>100</v>
      </c>
      <c r="G286" t="str">
        <f>VLOOKUP(C286,'Non-medicinal details'!$A$1:$E$12,3,FALSE)</f>
        <v>Hygiene</v>
      </c>
      <c r="H286">
        <f>F286-(VLOOKUP(C286,'Non-medicinal details'!$A$1:$E$12,5,FALSE)*D286)</f>
        <v>24</v>
      </c>
    </row>
    <row r="287" spans="1:8" x14ac:dyDescent="0.3">
      <c r="A287" s="9">
        <v>45822</v>
      </c>
      <c r="B287" s="9" t="str">
        <f t="shared" si="8"/>
        <v>Saturday</v>
      </c>
      <c r="C287" s="2" t="s">
        <v>43</v>
      </c>
      <c r="D287" s="2">
        <v>0</v>
      </c>
      <c r="E287">
        <f>VLOOKUP(C287,'Non-medicinal details'!$A$1:$E$12,4,FALSE)</f>
        <v>250</v>
      </c>
      <c r="F287">
        <f t="shared" si="9"/>
        <v>0</v>
      </c>
      <c r="G287" t="str">
        <f>VLOOKUP(C287,'Non-medicinal details'!$A$1:$E$12,3,FALSE)</f>
        <v>Nutritional powders</v>
      </c>
      <c r="H287">
        <f>F287-(VLOOKUP(C287,'Non-medicinal details'!$A$1:$E$12,5,FALSE)*D287)</f>
        <v>0</v>
      </c>
    </row>
    <row r="288" spans="1:8" x14ac:dyDescent="0.3">
      <c r="A288" s="9">
        <v>45822</v>
      </c>
      <c r="B288" s="9" t="str">
        <f t="shared" si="8"/>
        <v>Saturday</v>
      </c>
      <c r="C288" s="2" t="s">
        <v>44</v>
      </c>
      <c r="D288" s="2">
        <v>0</v>
      </c>
      <c r="E288">
        <f>VLOOKUP(C288,'Non-medicinal details'!$A$1:$E$12,4,FALSE)</f>
        <v>249</v>
      </c>
      <c r="F288">
        <f t="shared" si="9"/>
        <v>0</v>
      </c>
      <c r="G288" t="str">
        <f>VLOOKUP(C288,'Non-medicinal details'!$A$1:$E$12,3,FALSE)</f>
        <v>Nutritional powders</v>
      </c>
      <c r="H288">
        <f>F288-(VLOOKUP(C288,'Non-medicinal details'!$A$1:$E$12,5,FALSE)*D288)</f>
        <v>0</v>
      </c>
    </row>
    <row r="289" spans="1:8" x14ac:dyDescent="0.3">
      <c r="A289" s="9">
        <v>45823</v>
      </c>
      <c r="B289" s="9" t="str">
        <f t="shared" si="8"/>
        <v>Sunday</v>
      </c>
      <c r="C289" s="2" t="s">
        <v>33</v>
      </c>
      <c r="D289" s="2">
        <v>2</v>
      </c>
      <c r="E289">
        <f>VLOOKUP(C289,'Non-medicinal details'!$A$1:$E$12,4,FALSE)</f>
        <v>520</v>
      </c>
      <c r="F289">
        <f t="shared" si="9"/>
        <v>1040</v>
      </c>
      <c r="G289" t="str">
        <f>VLOOKUP(C289,'Non-medicinal details'!$A$1:$E$12,3,FALSE)</f>
        <v>Hair Care</v>
      </c>
      <c r="H289">
        <f>F289-(VLOOKUP(C289,'Non-medicinal details'!$A$1:$E$12,5,FALSE)*D289)</f>
        <v>40</v>
      </c>
    </row>
    <row r="290" spans="1:8" x14ac:dyDescent="0.3">
      <c r="A290" s="9">
        <v>45823</v>
      </c>
      <c r="B290" s="9" t="str">
        <f t="shared" si="8"/>
        <v>Sunday</v>
      </c>
      <c r="C290" s="2" t="s">
        <v>34</v>
      </c>
      <c r="D290" s="2">
        <v>0</v>
      </c>
      <c r="E290">
        <f>VLOOKUP(C290,'Non-medicinal details'!$A$1:$E$12,4,FALSE)</f>
        <v>248</v>
      </c>
      <c r="F290">
        <f t="shared" si="9"/>
        <v>0</v>
      </c>
      <c r="G290" t="str">
        <f>VLOOKUP(C290,'Non-medicinal details'!$A$1:$E$12,3,FALSE)</f>
        <v>Hair Care</v>
      </c>
      <c r="H290">
        <f>F290-(VLOOKUP(C290,'Non-medicinal details'!$A$1:$E$12,5,FALSE)*D290)</f>
        <v>0</v>
      </c>
    </row>
    <row r="291" spans="1:8" x14ac:dyDescent="0.3">
      <c r="A291" s="9">
        <v>45823</v>
      </c>
      <c r="B291" s="9" t="str">
        <f t="shared" si="8"/>
        <v>Sunday</v>
      </c>
      <c r="C291" s="2" t="s">
        <v>35</v>
      </c>
      <c r="D291" s="2">
        <v>0</v>
      </c>
      <c r="E291">
        <f>VLOOKUP(C291,'Non-medicinal details'!$A$1:$E$12,4,FALSE)</f>
        <v>200</v>
      </c>
      <c r="F291">
        <f t="shared" si="9"/>
        <v>0</v>
      </c>
      <c r="G291" t="str">
        <f>VLOOKUP(C291,'Non-medicinal details'!$A$1:$E$12,3,FALSE)</f>
        <v>Oral Care</v>
      </c>
      <c r="H291">
        <f>F291-(VLOOKUP(C291,'Non-medicinal details'!$A$1:$E$12,5,FALSE)*D291)</f>
        <v>0</v>
      </c>
    </row>
    <row r="292" spans="1:8" x14ac:dyDescent="0.3">
      <c r="A292" s="9">
        <v>45823</v>
      </c>
      <c r="B292" s="9" t="str">
        <f t="shared" si="8"/>
        <v>Sunday</v>
      </c>
      <c r="C292" s="2" t="s">
        <v>37</v>
      </c>
      <c r="D292" s="2">
        <v>0</v>
      </c>
      <c r="E292">
        <f>VLOOKUP(C292,'Non-medicinal details'!$A$1:$E$12,4,FALSE)</f>
        <v>46</v>
      </c>
      <c r="F292">
        <f t="shared" si="9"/>
        <v>0</v>
      </c>
      <c r="G292" t="str">
        <f>VLOOKUP(C292,'Non-medicinal details'!$A$1:$E$12,3,FALSE)</f>
        <v>Oral Care</v>
      </c>
      <c r="H292">
        <f>F292-(VLOOKUP(C292,'Non-medicinal details'!$A$1:$E$12,5,FALSE)*D292)</f>
        <v>0</v>
      </c>
    </row>
    <row r="293" spans="1:8" x14ac:dyDescent="0.3">
      <c r="A293" s="9">
        <v>45823</v>
      </c>
      <c r="B293" s="9" t="str">
        <f t="shared" si="8"/>
        <v>Sunday</v>
      </c>
      <c r="C293" s="2" t="s">
        <v>38</v>
      </c>
      <c r="D293" s="2">
        <v>1</v>
      </c>
      <c r="E293">
        <f>VLOOKUP(C293,'Non-medicinal details'!$A$1:$E$12,4,FALSE)</f>
        <v>95</v>
      </c>
      <c r="F293">
        <f t="shared" si="9"/>
        <v>95</v>
      </c>
      <c r="G293" t="str">
        <f>VLOOKUP(C293,'Non-medicinal details'!$A$1:$E$12,3,FALSE)</f>
        <v>Skin Care</v>
      </c>
      <c r="H293">
        <f>F293-(VLOOKUP(C293,'Non-medicinal details'!$A$1:$E$12,5,FALSE)*D293)</f>
        <v>10</v>
      </c>
    </row>
    <row r="294" spans="1:8" x14ac:dyDescent="0.3">
      <c r="A294" s="9">
        <v>45823</v>
      </c>
      <c r="B294" s="9" t="str">
        <f t="shared" si="8"/>
        <v>Sunday</v>
      </c>
      <c r="C294" s="2" t="s">
        <v>39</v>
      </c>
      <c r="D294" s="2">
        <v>1</v>
      </c>
      <c r="E294">
        <f>VLOOKUP(C294,'Non-medicinal details'!$A$1:$E$12,4,FALSE)</f>
        <v>35</v>
      </c>
      <c r="F294">
        <f t="shared" si="9"/>
        <v>35</v>
      </c>
      <c r="G294" t="str">
        <f>VLOOKUP(C294,'Non-medicinal details'!$A$1:$E$12,3,FALSE)</f>
        <v>Skin Care</v>
      </c>
      <c r="H294">
        <f>F294-(VLOOKUP(C294,'Non-medicinal details'!$A$1:$E$12,5,FALSE)*D294)</f>
        <v>7</v>
      </c>
    </row>
    <row r="295" spans="1:8" x14ac:dyDescent="0.3">
      <c r="A295" s="9">
        <v>45823</v>
      </c>
      <c r="B295" s="9" t="str">
        <f t="shared" si="8"/>
        <v>Sunday</v>
      </c>
      <c r="C295" s="2" t="s">
        <v>40</v>
      </c>
      <c r="D295" s="2">
        <v>0</v>
      </c>
      <c r="E295">
        <f>VLOOKUP(C295,'Non-medicinal details'!$A$1:$E$12,4,FALSE)</f>
        <v>60</v>
      </c>
      <c r="F295">
        <f t="shared" si="9"/>
        <v>0</v>
      </c>
      <c r="G295" t="str">
        <f>VLOOKUP(C295,'Non-medicinal details'!$A$1:$E$12,3,FALSE)</f>
        <v>Baby and Child Care</v>
      </c>
      <c r="H295">
        <f>F295-(VLOOKUP(C295,'Non-medicinal details'!$A$1:$E$12,5,FALSE)*D295)</f>
        <v>0</v>
      </c>
    </row>
    <row r="296" spans="1:8" x14ac:dyDescent="0.3">
      <c r="A296" s="9">
        <v>45823</v>
      </c>
      <c r="B296" s="9" t="str">
        <f t="shared" si="8"/>
        <v>Sunday</v>
      </c>
      <c r="C296" s="2" t="s">
        <v>41</v>
      </c>
      <c r="D296" s="2">
        <v>0</v>
      </c>
      <c r="E296">
        <f>VLOOKUP(C296,'Non-medicinal details'!$A$1:$E$12,4,FALSE)</f>
        <v>120</v>
      </c>
      <c r="F296">
        <f t="shared" si="9"/>
        <v>0</v>
      </c>
      <c r="G296" t="str">
        <f>VLOOKUP(C296,'Non-medicinal details'!$A$1:$E$12,3,FALSE)</f>
        <v>Baby and Child Care</v>
      </c>
      <c r="H296">
        <f>F296-(VLOOKUP(C296,'Non-medicinal details'!$A$1:$E$12,5,FALSE)*D296)</f>
        <v>0</v>
      </c>
    </row>
    <row r="297" spans="1:8" x14ac:dyDescent="0.3">
      <c r="A297" s="9">
        <v>45823</v>
      </c>
      <c r="B297" s="9" t="str">
        <f t="shared" si="8"/>
        <v>Sunday</v>
      </c>
      <c r="C297" s="2" t="s">
        <v>42</v>
      </c>
      <c r="D297" s="2">
        <v>1</v>
      </c>
      <c r="E297">
        <f>VLOOKUP(C297,'Non-medicinal details'!$A$1:$E$12,4,FALSE)</f>
        <v>50</v>
      </c>
      <c r="F297">
        <f t="shared" si="9"/>
        <v>50</v>
      </c>
      <c r="G297" t="str">
        <f>VLOOKUP(C297,'Non-medicinal details'!$A$1:$E$12,3,FALSE)</f>
        <v>Hygiene</v>
      </c>
      <c r="H297">
        <f>F297-(VLOOKUP(C297,'Non-medicinal details'!$A$1:$E$12,5,FALSE)*D297)</f>
        <v>12</v>
      </c>
    </row>
    <row r="298" spans="1:8" x14ac:dyDescent="0.3">
      <c r="A298" s="9">
        <v>45823</v>
      </c>
      <c r="B298" s="9" t="str">
        <f t="shared" si="8"/>
        <v>Sunday</v>
      </c>
      <c r="C298" s="2" t="s">
        <v>43</v>
      </c>
      <c r="D298" s="2">
        <v>0</v>
      </c>
      <c r="E298">
        <f>VLOOKUP(C298,'Non-medicinal details'!$A$1:$E$12,4,FALSE)</f>
        <v>250</v>
      </c>
      <c r="F298">
        <f t="shared" si="9"/>
        <v>0</v>
      </c>
      <c r="G298" t="str">
        <f>VLOOKUP(C298,'Non-medicinal details'!$A$1:$E$12,3,FALSE)</f>
        <v>Nutritional powders</v>
      </c>
      <c r="H298">
        <f>F298-(VLOOKUP(C298,'Non-medicinal details'!$A$1:$E$12,5,FALSE)*D298)</f>
        <v>0</v>
      </c>
    </row>
    <row r="299" spans="1:8" x14ac:dyDescent="0.3">
      <c r="A299" s="9">
        <v>45823</v>
      </c>
      <c r="B299" s="9" t="str">
        <f t="shared" si="8"/>
        <v>Sunday</v>
      </c>
      <c r="C299" s="2" t="s">
        <v>44</v>
      </c>
      <c r="D299" s="2">
        <v>0</v>
      </c>
      <c r="E299">
        <f>VLOOKUP(C299,'Non-medicinal details'!$A$1:$E$12,4,FALSE)</f>
        <v>249</v>
      </c>
      <c r="F299">
        <f t="shared" si="9"/>
        <v>0</v>
      </c>
      <c r="G299" t="str">
        <f>VLOOKUP(C299,'Non-medicinal details'!$A$1:$E$12,3,FALSE)</f>
        <v>Nutritional powders</v>
      </c>
      <c r="H299">
        <f>F299-(VLOOKUP(C299,'Non-medicinal details'!$A$1:$E$12,5,FALSE)*D299)</f>
        <v>0</v>
      </c>
    </row>
    <row r="300" spans="1:8" x14ac:dyDescent="0.3">
      <c r="A300" s="9">
        <v>45824</v>
      </c>
      <c r="B300" s="9" t="str">
        <f t="shared" si="8"/>
        <v>Monday</v>
      </c>
      <c r="C300" s="2" t="s">
        <v>33</v>
      </c>
      <c r="D300" s="2">
        <v>0</v>
      </c>
      <c r="E300">
        <f>VLOOKUP(C300,'Non-medicinal details'!$A$1:$E$12,4,FALSE)</f>
        <v>520</v>
      </c>
      <c r="F300">
        <f t="shared" si="9"/>
        <v>0</v>
      </c>
      <c r="G300" t="str">
        <f>VLOOKUP(C300,'Non-medicinal details'!$A$1:$E$12,3,FALSE)</f>
        <v>Hair Care</v>
      </c>
      <c r="H300">
        <f>F300-(VLOOKUP(C300,'Non-medicinal details'!$A$1:$E$12,5,FALSE)*D300)</f>
        <v>0</v>
      </c>
    </row>
    <row r="301" spans="1:8" x14ac:dyDescent="0.3">
      <c r="A301" s="9">
        <v>45824</v>
      </c>
      <c r="B301" s="9" t="str">
        <f t="shared" si="8"/>
        <v>Monday</v>
      </c>
      <c r="C301" s="2" t="s">
        <v>34</v>
      </c>
      <c r="D301" s="2">
        <v>1</v>
      </c>
      <c r="E301">
        <f>VLOOKUP(C301,'Non-medicinal details'!$A$1:$E$12,4,FALSE)</f>
        <v>248</v>
      </c>
      <c r="F301">
        <f t="shared" si="9"/>
        <v>248</v>
      </c>
      <c r="G301" t="str">
        <f>VLOOKUP(C301,'Non-medicinal details'!$A$1:$E$12,3,FALSE)</f>
        <v>Hair Care</v>
      </c>
      <c r="H301">
        <f>F301-(VLOOKUP(C301,'Non-medicinal details'!$A$1:$E$12,5,FALSE)*D301)</f>
        <v>88</v>
      </c>
    </row>
    <row r="302" spans="1:8" x14ac:dyDescent="0.3">
      <c r="A302" s="9">
        <v>45824</v>
      </c>
      <c r="B302" s="9" t="str">
        <f t="shared" si="8"/>
        <v>Monday</v>
      </c>
      <c r="C302" s="2" t="s">
        <v>35</v>
      </c>
      <c r="D302" s="2">
        <v>0</v>
      </c>
      <c r="E302">
        <f>VLOOKUP(C302,'Non-medicinal details'!$A$1:$E$12,4,FALSE)</f>
        <v>200</v>
      </c>
      <c r="F302">
        <f t="shared" si="9"/>
        <v>0</v>
      </c>
      <c r="G302" t="str">
        <f>VLOOKUP(C302,'Non-medicinal details'!$A$1:$E$12,3,FALSE)</f>
        <v>Oral Care</v>
      </c>
      <c r="H302">
        <f>F302-(VLOOKUP(C302,'Non-medicinal details'!$A$1:$E$12,5,FALSE)*D302)</f>
        <v>0</v>
      </c>
    </row>
    <row r="303" spans="1:8" x14ac:dyDescent="0.3">
      <c r="A303" s="9">
        <v>45824</v>
      </c>
      <c r="B303" s="9" t="str">
        <f t="shared" si="8"/>
        <v>Monday</v>
      </c>
      <c r="C303" s="2" t="s">
        <v>37</v>
      </c>
      <c r="D303" s="2">
        <v>0</v>
      </c>
      <c r="E303">
        <f>VLOOKUP(C303,'Non-medicinal details'!$A$1:$E$12,4,FALSE)</f>
        <v>46</v>
      </c>
      <c r="F303">
        <f t="shared" si="9"/>
        <v>0</v>
      </c>
      <c r="G303" t="str">
        <f>VLOOKUP(C303,'Non-medicinal details'!$A$1:$E$12,3,FALSE)</f>
        <v>Oral Care</v>
      </c>
      <c r="H303">
        <f>F303-(VLOOKUP(C303,'Non-medicinal details'!$A$1:$E$12,5,FALSE)*D303)</f>
        <v>0</v>
      </c>
    </row>
    <row r="304" spans="1:8" x14ac:dyDescent="0.3">
      <c r="A304" s="9">
        <v>45824</v>
      </c>
      <c r="B304" s="9" t="str">
        <f t="shared" si="8"/>
        <v>Monday</v>
      </c>
      <c r="C304" s="2" t="s">
        <v>38</v>
      </c>
      <c r="D304" s="2">
        <v>0</v>
      </c>
      <c r="E304">
        <f>VLOOKUP(C304,'Non-medicinal details'!$A$1:$E$12,4,FALSE)</f>
        <v>95</v>
      </c>
      <c r="F304">
        <f t="shared" si="9"/>
        <v>0</v>
      </c>
      <c r="G304" t="str">
        <f>VLOOKUP(C304,'Non-medicinal details'!$A$1:$E$12,3,FALSE)</f>
        <v>Skin Care</v>
      </c>
      <c r="H304">
        <f>F304-(VLOOKUP(C304,'Non-medicinal details'!$A$1:$E$12,5,FALSE)*D304)</f>
        <v>0</v>
      </c>
    </row>
    <row r="305" spans="1:8" x14ac:dyDescent="0.3">
      <c r="A305" s="9">
        <v>45824</v>
      </c>
      <c r="B305" s="9" t="str">
        <f t="shared" si="8"/>
        <v>Monday</v>
      </c>
      <c r="C305" s="2" t="s">
        <v>39</v>
      </c>
      <c r="D305" s="2">
        <v>0</v>
      </c>
      <c r="E305">
        <f>VLOOKUP(C305,'Non-medicinal details'!$A$1:$E$12,4,FALSE)</f>
        <v>35</v>
      </c>
      <c r="F305">
        <f t="shared" si="9"/>
        <v>0</v>
      </c>
      <c r="G305" t="str">
        <f>VLOOKUP(C305,'Non-medicinal details'!$A$1:$E$12,3,FALSE)</f>
        <v>Skin Care</v>
      </c>
      <c r="H305">
        <f>F305-(VLOOKUP(C305,'Non-medicinal details'!$A$1:$E$12,5,FALSE)*D305)</f>
        <v>0</v>
      </c>
    </row>
    <row r="306" spans="1:8" x14ac:dyDescent="0.3">
      <c r="A306" s="9">
        <v>45824</v>
      </c>
      <c r="B306" s="9" t="str">
        <f t="shared" si="8"/>
        <v>Monday</v>
      </c>
      <c r="C306" s="2" t="s">
        <v>40</v>
      </c>
      <c r="D306" s="2">
        <v>0</v>
      </c>
      <c r="E306">
        <f>VLOOKUP(C306,'Non-medicinal details'!$A$1:$E$12,4,FALSE)</f>
        <v>60</v>
      </c>
      <c r="F306">
        <f t="shared" si="9"/>
        <v>0</v>
      </c>
      <c r="G306" t="str">
        <f>VLOOKUP(C306,'Non-medicinal details'!$A$1:$E$12,3,FALSE)</f>
        <v>Baby and Child Care</v>
      </c>
      <c r="H306">
        <f>F306-(VLOOKUP(C306,'Non-medicinal details'!$A$1:$E$12,5,FALSE)*D306)</f>
        <v>0</v>
      </c>
    </row>
    <row r="307" spans="1:8" x14ac:dyDescent="0.3">
      <c r="A307" s="9">
        <v>45824</v>
      </c>
      <c r="B307" s="9" t="str">
        <f t="shared" si="8"/>
        <v>Monday</v>
      </c>
      <c r="C307" s="2" t="s">
        <v>41</v>
      </c>
      <c r="D307" s="2">
        <v>0</v>
      </c>
      <c r="E307">
        <f>VLOOKUP(C307,'Non-medicinal details'!$A$1:$E$12,4,FALSE)</f>
        <v>120</v>
      </c>
      <c r="F307">
        <f t="shared" si="9"/>
        <v>0</v>
      </c>
      <c r="G307" t="str">
        <f>VLOOKUP(C307,'Non-medicinal details'!$A$1:$E$12,3,FALSE)</f>
        <v>Baby and Child Care</v>
      </c>
      <c r="H307">
        <f>F307-(VLOOKUP(C307,'Non-medicinal details'!$A$1:$E$12,5,FALSE)*D307)</f>
        <v>0</v>
      </c>
    </row>
    <row r="308" spans="1:8" x14ac:dyDescent="0.3">
      <c r="A308" s="9">
        <v>45824</v>
      </c>
      <c r="B308" s="9" t="str">
        <f t="shared" si="8"/>
        <v>Monday</v>
      </c>
      <c r="C308" s="2" t="s">
        <v>42</v>
      </c>
      <c r="D308" s="2">
        <v>1</v>
      </c>
      <c r="E308">
        <f>VLOOKUP(C308,'Non-medicinal details'!$A$1:$E$12,4,FALSE)</f>
        <v>50</v>
      </c>
      <c r="F308">
        <f t="shared" si="9"/>
        <v>50</v>
      </c>
      <c r="G308" t="str">
        <f>VLOOKUP(C308,'Non-medicinal details'!$A$1:$E$12,3,FALSE)</f>
        <v>Hygiene</v>
      </c>
      <c r="H308">
        <f>F308-(VLOOKUP(C308,'Non-medicinal details'!$A$1:$E$12,5,FALSE)*D308)</f>
        <v>12</v>
      </c>
    </row>
    <row r="309" spans="1:8" x14ac:dyDescent="0.3">
      <c r="A309" s="9">
        <v>45824</v>
      </c>
      <c r="B309" s="9" t="str">
        <f t="shared" si="8"/>
        <v>Monday</v>
      </c>
      <c r="C309" s="2" t="s">
        <v>43</v>
      </c>
      <c r="D309" s="2">
        <v>2</v>
      </c>
      <c r="E309">
        <f>VLOOKUP(C309,'Non-medicinal details'!$A$1:$E$12,4,FALSE)</f>
        <v>250</v>
      </c>
      <c r="F309">
        <f t="shared" si="9"/>
        <v>500</v>
      </c>
      <c r="G309" t="str">
        <f>VLOOKUP(C309,'Non-medicinal details'!$A$1:$E$12,3,FALSE)</f>
        <v>Nutritional powders</v>
      </c>
      <c r="H309">
        <f>F309-(VLOOKUP(C309,'Non-medicinal details'!$A$1:$E$12,5,FALSE)*D309)</f>
        <v>80</v>
      </c>
    </row>
    <row r="310" spans="1:8" x14ac:dyDescent="0.3">
      <c r="A310" s="9">
        <v>45824</v>
      </c>
      <c r="B310" s="9" t="str">
        <f t="shared" si="8"/>
        <v>Monday</v>
      </c>
      <c r="C310" s="2" t="s">
        <v>44</v>
      </c>
      <c r="D310" s="2">
        <v>1</v>
      </c>
      <c r="E310">
        <f>VLOOKUP(C310,'Non-medicinal details'!$A$1:$E$12,4,FALSE)</f>
        <v>249</v>
      </c>
      <c r="F310">
        <f t="shared" si="9"/>
        <v>249</v>
      </c>
      <c r="G310" t="str">
        <f>VLOOKUP(C310,'Non-medicinal details'!$A$1:$E$12,3,FALSE)</f>
        <v>Nutritional powders</v>
      </c>
      <c r="H310">
        <f>F310-(VLOOKUP(C310,'Non-medicinal details'!$A$1:$E$12,5,FALSE)*D310)</f>
        <v>49</v>
      </c>
    </row>
    <row r="311" spans="1:8" x14ac:dyDescent="0.3">
      <c r="A311" s="9">
        <v>45825</v>
      </c>
      <c r="B311" s="9" t="str">
        <f t="shared" si="8"/>
        <v>Tuesday</v>
      </c>
      <c r="C311" s="2" t="s">
        <v>33</v>
      </c>
      <c r="D311" s="2">
        <v>0</v>
      </c>
      <c r="E311">
        <f>VLOOKUP(C311,'Non-medicinal details'!$A$1:$E$12,4,FALSE)</f>
        <v>520</v>
      </c>
      <c r="F311">
        <f t="shared" si="9"/>
        <v>0</v>
      </c>
      <c r="G311" t="str">
        <f>VLOOKUP(C311,'Non-medicinal details'!$A$1:$E$12,3,FALSE)</f>
        <v>Hair Care</v>
      </c>
      <c r="H311">
        <f>F311-(VLOOKUP(C311,'Non-medicinal details'!$A$1:$E$12,5,FALSE)*D311)</f>
        <v>0</v>
      </c>
    </row>
    <row r="312" spans="1:8" x14ac:dyDescent="0.3">
      <c r="A312" s="9">
        <v>45825</v>
      </c>
      <c r="B312" s="9" t="str">
        <f t="shared" si="8"/>
        <v>Tuesday</v>
      </c>
      <c r="C312" s="2" t="s">
        <v>34</v>
      </c>
      <c r="D312" s="2">
        <v>1</v>
      </c>
      <c r="E312">
        <f>VLOOKUP(C312,'Non-medicinal details'!$A$1:$E$12,4,FALSE)</f>
        <v>248</v>
      </c>
      <c r="F312">
        <f t="shared" si="9"/>
        <v>248</v>
      </c>
      <c r="G312" t="str">
        <f>VLOOKUP(C312,'Non-medicinal details'!$A$1:$E$12,3,FALSE)</f>
        <v>Hair Care</v>
      </c>
      <c r="H312">
        <f>F312-(VLOOKUP(C312,'Non-medicinal details'!$A$1:$E$12,5,FALSE)*D312)</f>
        <v>88</v>
      </c>
    </row>
    <row r="313" spans="1:8" x14ac:dyDescent="0.3">
      <c r="A313" s="9">
        <v>45825</v>
      </c>
      <c r="B313" s="9" t="str">
        <f t="shared" si="8"/>
        <v>Tuesday</v>
      </c>
      <c r="C313" s="2" t="s">
        <v>35</v>
      </c>
      <c r="D313" s="2">
        <v>0</v>
      </c>
      <c r="E313">
        <f>VLOOKUP(C313,'Non-medicinal details'!$A$1:$E$12,4,FALSE)</f>
        <v>200</v>
      </c>
      <c r="F313">
        <f t="shared" si="9"/>
        <v>0</v>
      </c>
      <c r="G313" t="str">
        <f>VLOOKUP(C313,'Non-medicinal details'!$A$1:$E$12,3,FALSE)</f>
        <v>Oral Care</v>
      </c>
      <c r="H313">
        <f>F313-(VLOOKUP(C313,'Non-medicinal details'!$A$1:$E$12,5,FALSE)*D313)</f>
        <v>0</v>
      </c>
    </row>
    <row r="314" spans="1:8" x14ac:dyDescent="0.3">
      <c r="A314" s="9">
        <v>45825</v>
      </c>
      <c r="B314" s="9" t="str">
        <f t="shared" si="8"/>
        <v>Tuesday</v>
      </c>
      <c r="C314" s="2" t="s">
        <v>37</v>
      </c>
      <c r="D314" s="2">
        <v>2</v>
      </c>
      <c r="E314">
        <f>VLOOKUP(C314,'Non-medicinal details'!$A$1:$E$12,4,FALSE)</f>
        <v>46</v>
      </c>
      <c r="F314">
        <f t="shared" si="9"/>
        <v>92</v>
      </c>
      <c r="G314" t="str">
        <f>VLOOKUP(C314,'Non-medicinal details'!$A$1:$E$12,3,FALSE)</f>
        <v>Oral Care</v>
      </c>
      <c r="H314">
        <f>F314-(VLOOKUP(C314,'Non-medicinal details'!$A$1:$E$12,5,FALSE)*D314)</f>
        <v>32</v>
      </c>
    </row>
    <row r="315" spans="1:8" x14ac:dyDescent="0.3">
      <c r="A315" s="9">
        <v>45825</v>
      </c>
      <c r="B315" s="9" t="str">
        <f t="shared" si="8"/>
        <v>Tuesday</v>
      </c>
      <c r="C315" s="2" t="s">
        <v>38</v>
      </c>
      <c r="D315" s="2">
        <v>1</v>
      </c>
      <c r="E315">
        <f>VLOOKUP(C315,'Non-medicinal details'!$A$1:$E$12,4,FALSE)</f>
        <v>95</v>
      </c>
      <c r="F315">
        <f t="shared" si="9"/>
        <v>95</v>
      </c>
      <c r="G315" t="str">
        <f>VLOOKUP(C315,'Non-medicinal details'!$A$1:$E$12,3,FALSE)</f>
        <v>Skin Care</v>
      </c>
      <c r="H315">
        <f>F315-(VLOOKUP(C315,'Non-medicinal details'!$A$1:$E$12,5,FALSE)*D315)</f>
        <v>10</v>
      </c>
    </row>
    <row r="316" spans="1:8" x14ac:dyDescent="0.3">
      <c r="A316" s="9">
        <v>45825</v>
      </c>
      <c r="B316" s="9" t="str">
        <f t="shared" si="8"/>
        <v>Tuesday</v>
      </c>
      <c r="C316" s="2" t="s">
        <v>39</v>
      </c>
      <c r="D316" s="2">
        <v>1</v>
      </c>
      <c r="E316">
        <f>VLOOKUP(C316,'Non-medicinal details'!$A$1:$E$12,4,FALSE)</f>
        <v>35</v>
      </c>
      <c r="F316">
        <f t="shared" si="9"/>
        <v>35</v>
      </c>
      <c r="G316" t="str">
        <f>VLOOKUP(C316,'Non-medicinal details'!$A$1:$E$12,3,FALSE)</f>
        <v>Skin Care</v>
      </c>
      <c r="H316">
        <f>F316-(VLOOKUP(C316,'Non-medicinal details'!$A$1:$E$12,5,FALSE)*D316)</f>
        <v>7</v>
      </c>
    </row>
    <row r="317" spans="1:8" x14ac:dyDescent="0.3">
      <c r="A317" s="9">
        <v>45825</v>
      </c>
      <c r="B317" s="9" t="str">
        <f t="shared" si="8"/>
        <v>Tuesday</v>
      </c>
      <c r="C317" s="2" t="s">
        <v>40</v>
      </c>
      <c r="D317" s="2">
        <v>0</v>
      </c>
      <c r="E317">
        <f>VLOOKUP(C317,'Non-medicinal details'!$A$1:$E$12,4,FALSE)</f>
        <v>60</v>
      </c>
      <c r="F317">
        <f t="shared" si="9"/>
        <v>0</v>
      </c>
      <c r="G317" t="str">
        <f>VLOOKUP(C317,'Non-medicinal details'!$A$1:$E$12,3,FALSE)</f>
        <v>Baby and Child Care</v>
      </c>
      <c r="H317">
        <f>F317-(VLOOKUP(C317,'Non-medicinal details'!$A$1:$E$12,5,FALSE)*D317)</f>
        <v>0</v>
      </c>
    </row>
    <row r="318" spans="1:8" x14ac:dyDescent="0.3">
      <c r="A318" s="9">
        <v>45825</v>
      </c>
      <c r="B318" s="9" t="str">
        <f t="shared" si="8"/>
        <v>Tuesday</v>
      </c>
      <c r="C318" s="2" t="s">
        <v>41</v>
      </c>
      <c r="D318" s="2">
        <v>2</v>
      </c>
      <c r="E318">
        <f>VLOOKUP(C318,'Non-medicinal details'!$A$1:$E$12,4,FALSE)</f>
        <v>120</v>
      </c>
      <c r="F318">
        <f t="shared" si="9"/>
        <v>240</v>
      </c>
      <c r="G318" t="str">
        <f>VLOOKUP(C318,'Non-medicinal details'!$A$1:$E$12,3,FALSE)</f>
        <v>Baby and Child Care</v>
      </c>
      <c r="H318">
        <f>F318-(VLOOKUP(C318,'Non-medicinal details'!$A$1:$E$12,5,FALSE)*D318)</f>
        <v>20</v>
      </c>
    </row>
    <row r="319" spans="1:8" x14ac:dyDescent="0.3">
      <c r="A319" s="9">
        <v>45825</v>
      </c>
      <c r="B319" s="9" t="str">
        <f t="shared" si="8"/>
        <v>Tuesday</v>
      </c>
      <c r="C319" s="2" t="s">
        <v>42</v>
      </c>
      <c r="D319" s="2">
        <v>1</v>
      </c>
      <c r="E319">
        <f>VLOOKUP(C319,'Non-medicinal details'!$A$1:$E$12,4,FALSE)</f>
        <v>50</v>
      </c>
      <c r="F319">
        <f t="shared" si="9"/>
        <v>50</v>
      </c>
      <c r="G319" t="str">
        <f>VLOOKUP(C319,'Non-medicinal details'!$A$1:$E$12,3,FALSE)</f>
        <v>Hygiene</v>
      </c>
      <c r="H319">
        <f>F319-(VLOOKUP(C319,'Non-medicinal details'!$A$1:$E$12,5,FALSE)*D319)</f>
        <v>12</v>
      </c>
    </row>
    <row r="320" spans="1:8" x14ac:dyDescent="0.3">
      <c r="A320" s="9">
        <v>45825</v>
      </c>
      <c r="B320" s="9" t="str">
        <f t="shared" si="8"/>
        <v>Tuesday</v>
      </c>
      <c r="C320" s="2" t="s">
        <v>43</v>
      </c>
      <c r="D320" s="2">
        <v>1</v>
      </c>
      <c r="E320">
        <f>VLOOKUP(C320,'Non-medicinal details'!$A$1:$E$12,4,FALSE)</f>
        <v>250</v>
      </c>
      <c r="F320">
        <f t="shared" si="9"/>
        <v>250</v>
      </c>
      <c r="G320" t="str">
        <f>VLOOKUP(C320,'Non-medicinal details'!$A$1:$E$12,3,FALSE)</f>
        <v>Nutritional powders</v>
      </c>
      <c r="H320">
        <f>F320-(VLOOKUP(C320,'Non-medicinal details'!$A$1:$E$12,5,FALSE)*D320)</f>
        <v>40</v>
      </c>
    </row>
    <row r="321" spans="1:8" x14ac:dyDescent="0.3">
      <c r="A321" s="9">
        <v>45825</v>
      </c>
      <c r="B321" s="9" t="str">
        <f t="shared" si="8"/>
        <v>Tuesday</v>
      </c>
      <c r="C321" s="2" t="s">
        <v>44</v>
      </c>
      <c r="D321" s="2">
        <v>1</v>
      </c>
      <c r="E321">
        <f>VLOOKUP(C321,'Non-medicinal details'!$A$1:$E$12,4,FALSE)</f>
        <v>249</v>
      </c>
      <c r="F321">
        <f t="shared" si="9"/>
        <v>249</v>
      </c>
      <c r="G321" t="str">
        <f>VLOOKUP(C321,'Non-medicinal details'!$A$1:$E$12,3,FALSE)</f>
        <v>Nutritional powders</v>
      </c>
      <c r="H321">
        <f>F321-(VLOOKUP(C321,'Non-medicinal details'!$A$1:$E$12,5,FALSE)*D321)</f>
        <v>49</v>
      </c>
    </row>
    <row r="322" spans="1:8" x14ac:dyDescent="0.3">
      <c r="A322" s="9">
        <v>45826</v>
      </c>
      <c r="B322" s="9" t="str">
        <f t="shared" si="8"/>
        <v>Wednesday</v>
      </c>
      <c r="C322" s="2" t="s">
        <v>33</v>
      </c>
      <c r="D322" s="2">
        <v>0</v>
      </c>
      <c r="E322">
        <f>VLOOKUP(C322,'Non-medicinal details'!$A$1:$E$12,4,FALSE)</f>
        <v>520</v>
      </c>
      <c r="F322">
        <f t="shared" si="9"/>
        <v>0</v>
      </c>
      <c r="G322" t="str">
        <f>VLOOKUP(C322,'Non-medicinal details'!$A$1:$E$12,3,FALSE)</f>
        <v>Hair Care</v>
      </c>
      <c r="H322">
        <f>F322-(VLOOKUP(C322,'Non-medicinal details'!$A$1:$E$12,5,FALSE)*D322)</f>
        <v>0</v>
      </c>
    </row>
    <row r="323" spans="1:8" x14ac:dyDescent="0.3">
      <c r="A323" s="9">
        <v>45826</v>
      </c>
      <c r="B323" s="9" t="str">
        <f t="shared" si="8"/>
        <v>Wednesday</v>
      </c>
      <c r="C323" s="2" t="s">
        <v>34</v>
      </c>
      <c r="D323" s="2">
        <v>0</v>
      </c>
      <c r="E323">
        <f>VLOOKUP(C323,'Non-medicinal details'!$A$1:$E$12,4,FALSE)</f>
        <v>248</v>
      </c>
      <c r="F323">
        <f t="shared" si="9"/>
        <v>0</v>
      </c>
      <c r="G323" t="str">
        <f>VLOOKUP(C323,'Non-medicinal details'!$A$1:$E$12,3,FALSE)</f>
        <v>Hair Care</v>
      </c>
      <c r="H323">
        <f>F323-(VLOOKUP(C323,'Non-medicinal details'!$A$1:$E$12,5,FALSE)*D323)</f>
        <v>0</v>
      </c>
    </row>
    <row r="324" spans="1:8" x14ac:dyDescent="0.3">
      <c r="A324" s="9">
        <v>45826</v>
      </c>
      <c r="B324" s="9" t="str">
        <f t="shared" ref="B324:B332" si="10">TEXT(A324,"dddd")</f>
        <v>Wednesday</v>
      </c>
      <c r="C324" s="2" t="s">
        <v>35</v>
      </c>
      <c r="D324" s="2">
        <v>0</v>
      </c>
      <c r="E324">
        <f>VLOOKUP(C324,'Non-medicinal details'!$A$1:$E$12,4,FALSE)</f>
        <v>200</v>
      </c>
      <c r="F324">
        <f t="shared" ref="F324:F332" si="11">D324*E324</f>
        <v>0</v>
      </c>
      <c r="G324" t="str">
        <f>VLOOKUP(C324,'Non-medicinal details'!$A$1:$E$12,3,FALSE)</f>
        <v>Oral Care</v>
      </c>
      <c r="H324">
        <f>F324-(VLOOKUP(C324,'Non-medicinal details'!$A$1:$E$12,5,FALSE)*D324)</f>
        <v>0</v>
      </c>
    </row>
    <row r="325" spans="1:8" x14ac:dyDescent="0.3">
      <c r="A325" s="9">
        <v>45826</v>
      </c>
      <c r="B325" s="9" t="str">
        <f t="shared" si="10"/>
        <v>Wednesday</v>
      </c>
      <c r="C325" s="2" t="s">
        <v>37</v>
      </c>
      <c r="D325" s="2">
        <v>0</v>
      </c>
      <c r="E325">
        <f>VLOOKUP(C325,'Non-medicinal details'!$A$1:$E$12,4,FALSE)</f>
        <v>46</v>
      </c>
      <c r="F325">
        <f t="shared" si="11"/>
        <v>0</v>
      </c>
      <c r="G325" t="str">
        <f>VLOOKUP(C325,'Non-medicinal details'!$A$1:$E$12,3,FALSE)</f>
        <v>Oral Care</v>
      </c>
      <c r="H325">
        <f>F325-(VLOOKUP(C325,'Non-medicinal details'!$A$1:$E$12,5,FALSE)*D325)</f>
        <v>0</v>
      </c>
    </row>
    <row r="326" spans="1:8" x14ac:dyDescent="0.3">
      <c r="A326" s="9">
        <v>45826</v>
      </c>
      <c r="B326" s="9" t="str">
        <f t="shared" si="10"/>
        <v>Wednesday</v>
      </c>
      <c r="C326" s="2" t="s">
        <v>38</v>
      </c>
      <c r="D326" s="2">
        <v>0</v>
      </c>
      <c r="E326">
        <f>VLOOKUP(C326,'Non-medicinal details'!$A$1:$E$12,4,FALSE)</f>
        <v>95</v>
      </c>
      <c r="F326">
        <f t="shared" si="11"/>
        <v>0</v>
      </c>
      <c r="G326" t="str">
        <f>VLOOKUP(C326,'Non-medicinal details'!$A$1:$E$12,3,FALSE)</f>
        <v>Skin Care</v>
      </c>
      <c r="H326">
        <f>F326-(VLOOKUP(C326,'Non-medicinal details'!$A$1:$E$12,5,FALSE)*D326)</f>
        <v>0</v>
      </c>
    </row>
    <row r="327" spans="1:8" x14ac:dyDescent="0.3">
      <c r="A327" s="9">
        <v>45826</v>
      </c>
      <c r="B327" s="9" t="str">
        <f t="shared" si="10"/>
        <v>Wednesday</v>
      </c>
      <c r="C327" s="2" t="s">
        <v>39</v>
      </c>
      <c r="D327" s="2">
        <v>0</v>
      </c>
      <c r="E327">
        <f>VLOOKUP(C327,'Non-medicinal details'!$A$1:$E$12,4,FALSE)</f>
        <v>35</v>
      </c>
      <c r="F327">
        <f t="shared" si="11"/>
        <v>0</v>
      </c>
      <c r="G327" t="str">
        <f>VLOOKUP(C327,'Non-medicinal details'!$A$1:$E$12,3,FALSE)</f>
        <v>Skin Care</v>
      </c>
      <c r="H327">
        <f>F327-(VLOOKUP(C327,'Non-medicinal details'!$A$1:$E$12,5,FALSE)*D327)</f>
        <v>0</v>
      </c>
    </row>
    <row r="328" spans="1:8" x14ac:dyDescent="0.3">
      <c r="A328" s="9">
        <v>45826</v>
      </c>
      <c r="B328" s="9" t="str">
        <f t="shared" si="10"/>
        <v>Wednesday</v>
      </c>
      <c r="C328" s="2" t="s">
        <v>40</v>
      </c>
      <c r="D328" s="2">
        <v>1</v>
      </c>
      <c r="E328">
        <f>VLOOKUP(C328,'Non-medicinal details'!$A$1:$E$12,4,FALSE)</f>
        <v>60</v>
      </c>
      <c r="F328">
        <f t="shared" si="11"/>
        <v>60</v>
      </c>
      <c r="G328" t="str">
        <f>VLOOKUP(C328,'Non-medicinal details'!$A$1:$E$12,3,FALSE)</f>
        <v>Baby and Child Care</v>
      </c>
      <c r="H328">
        <f>F328-(VLOOKUP(C328,'Non-medicinal details'!$A$1:$E$12,5,FALSE)*D328)</f>
        <v>20</v>
      </c>
    </row>
    <row r="329" spans="1:8" x14ac:dyDescent="0.3">
      <c r="A329" s="9">
        <v>45826</v>
      </c>
      <c r="B329" s="9" t="str">
        <f t="shared" si="10"/>
        <v>Wednesday</v>
      </c>
      <c r="C329" s="2" t="s">
        <v>41</v>
      </c>
      <c r="D329" s="2">
        <v>0</v>
      </c>
      <c r="E329">
        <f>VLOOKUP(C329,'Non-medicinal details'!$A$1:$E$12,4,FALSE)</f>
        <v>120</v>
      </c>
      <c r="F329">
        <f t="shared" si="11"/>
        <v>0</v>
      </c>
      <c r="G329" t="str">
        <f>VLOOKUP(C329,'Non-medicinal details'!$A$1:$E$12,3,FALSE)</f>
        <v>Baby and Child Care</v>
      </c>
      <c r="H329">
        <f>F329-(VLOOKUP(C329,'Non-medicinal details'!$A$1:$E$12,5,FALSE)*D329)</f>
        <v>0</v>
      </c>
    </row>
    <row r="330" spans="1:8" x14ac:dyDescent="0.3">
      <c r="A330" s="9">
        <v>45826</v>
      </c>
      <c r="B330" s="9" t="str">
        <f t="shared" si="10"/>
        <v>Wednesday</v>
      </c>
      <c r="C330" s="2" t="s">
        <v>42</v>
      </c>
      <c r="D330" s="2">
        <v>0</v>
      </c>
      <c r="E330">
        <f>VLOOKUP(C330,'Non-medicinal details'!$A$1:$E$12,4,FALSE)</f>
        <v>50</v>
      </c>
      <c r="F330">
        <f t="shared" si="11"/>
        <v>0</v>
      </c>
      <c r="G330" t="str">
        <f>VLOOKUP(C330,'Non-medicinal details'!$A$1:$E$12,3,FALSE)</f>
        <v>Hygiene</v>
      </c>
      <c r="H330">
        <f>F330-(VLOOKUP(C330,'Non-medicinal details'!$A$1:$E$12,5,FALSE)*D330)</f>
        <v>0</v>
      </c>
    </row>
    <row r="331" spans="1:8" x14ac:dyDescent="0.3">
      <c r="A331" s="9">
        <v>45826</v>
      </c>
      <c r="B331" s="9" t="str">
        <f t="shared" si="10"/>
        <v>Wednesday</v>
      </c>
      <c r="C331" s="2" t="s">
        <v>43</v>
      </c>
      <c r="D331" s="2">
        <v>1</v>
      </c>
      <c r="E331">
        <f>VLOOKUP(C331,'Non-medicinal details'!$A$1:$E$12,4,FALSE)</f>
        <v>250</v>
      </c>
      <c r="F331">
        <f t="shared" si="11"/>
        <v>250</v>
      </c>
      <c r="G331" t="str">
        <f>VLOOKUP(C331,'Non-medicinal details'!$A$1:$E$12,3,FALSE)</f>
        <v>Nutritional powders</v>
      </c>
      <c r="H331">
        <f>F331-(VLOOKUP(C331,'Non-medicinal details'!$A$1:$E$12,5,FALSE)*D331)</f>
        <v>40</v>
      </c>
    </row>
    <row r="332" spans="1:8" x14ac:dyDescent="0.3">
      <c r="A332" s="9">
        <v>45826</v>
      </c>
      <c r="B332" s="9" t="str">
        <f t="shared" si="10"/>
        <v>Wednesday</v>
      </c>
      <c r="C332" s="2" t="s">
        <v>44</v>
      </c>
      <c r="D332" s="2">
        <v>0</v>
      </c>
      <c r="E332">
        <f>VLOOKUP(C332,'Non-medicinal details'!$A$1:$E$12,4,FALSE)</f>
        <v>249</v>
      </c>
      <c r="F332">
        <f t="shared" si="11"/>
        <v>0</v>
      </c>
      <c r="G332" t="str">
        <f>VLOOKUP(C332,'Non-medicinal details'!$A$1:$E$12,3,FALSE)</f>
        <v>Nutritional powders</v>
      </c>
      <c r="H332">
        <f>F332-(VLOOKUP(C332,'Non-medicinal details'!$A$1:$E$12,5,FALSE)*D332)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A74E-73CC-47BD-A3B4-5B7B8CD74AF5}">
  <dimension ref="A1:C11"/>
  <sheetViews>
    <sheetView workbookViewId="0">
      <selection activeCell="F12" sqref="F12"/>
    </sheetView>
  </sheetViews>
  <sheetFormatPr defaultRowHeight="14.4" x14ac:dyDescent="0.3"/>
  <cols>
    <col min="1" max="1" width="24.6640625" style="2" bestFit="1" customWidth="1"/>
    <col min="2" max="2" width="13.109375" style="2" bestFit="1" customWidth="1"/>
    <col min="3" max="3" width="22.5546875" style="2" bestFit="1" customWidth="1"/>
  </cols>
  <sheetData>
    <row r="1" spans="1:3" x14ac:dyDescent="0.3">
      <c r="A1" s="10" t="s">
        <v>0</v>
      </c>
      <c r="B1" s="10" t="s">
        <v>24</v>
      </c>
      <c r="C1" s="10" t="s">
        <v>15</v>
      </c>
    </row>
    <row r="2" spans="1:3" x14ac:dyDescent="0.3">
      <c r="A2" s="2" t="s">
        <v>5</v>
      </c>
      <c r="B2" s="2" t="s">
        <v>25</v>
      </c>
      <c r="C2" s="2" t="s">
        <v>26</v>
      </c>
    </row>
    <row r="3" spans="1:3" x14ac:dyDescent="0.3">
      <c r="A3" s="2" t="s">
        <v>6</v>
      </c>
      <c r="B3" s="2" t="s">
        <v>25</v>
      </c>
      <c r="C3" s="2" t="s">
        <v>27</v>
      </c>
    </row>
    <row r="4" spans="1:3" x14ac:dyDescent="0.3">
      <c r="A4" s="2" t="s">
        <v>7</v>
      </c>
      <c r="B4" s="2" t="s">
        <v>25</v>
      </c>
      <c r="C4" s="2" t="s">
        <v>26</v>
      </c>
    </row>
    <row r="5" spans="1:3" x14ac:dyDescent="0.3">
      <c r="A5" s="2" t="s">
        <v>21</v>
      </c>
      <c r="B5" s="2" t="s">
        <v>25</v>
      </c>
      <c r="C5" s="2" t="s">
        <v>30</v>
      </c>
    </row>
    <row r="6" spans="1:3" x14ac:dyDescent="0.3">
      <c r="A6" s="2" t="s">
        <v>9</v>
      </c>
      <c r="B6" s="2" t="s">
        <v>25</v>
      </c>
      <c r="C6" s="2" t="s">
        <v>30</v>
      </c>
    </row>
    <row r="7" spans="1:3" x14ac:dyDescent="0.3">
      <c r="A7" s="2" t="s">
        <v>14</v>
      </c>
      <c r="B7" s="2" t="s">
        <v>25</v>
      </c>
      <c r="C7" s="2" t="s">
        <v>27</v>
      </c>
    </row>
    <row r="8" spans="1:3" x14ac:dyDescent="0.3">
      <c r="A8" s="2" t="s">
        <v>17</v>
      </c>
      <c r="B8" s="2" t="s">
        <v>25</v>
      </c>
      <c r="C8" s="2" t="s">
        <v>28</v>
      </c>
    </row>
    <row r="9" spans="1:3" x14ac:dyDescent="0.3">
      <c r="A9" s="2" t="s">
        <v>18</v>
      </c>
      <c r="B9" s="2" t="s">
        <v>25</v>
      </c>
      <c r="C9" s="2" t="s">
        <v>29</v>
      </c>
    </row>
    <row r="10" spans="1:3" x14ac:dyDescent="0.3">
      <c r="A10" s="2" t="s">
        <v>19</v>
      </c>
      <c r="B10" s="2" t="s">
        <v>25</v>
      </c>
      <c r="C10" s="2" t="s">
        <v>29</v>
      </c>
    </row>
    <row r="11" spans="1:3" x14ac:dyDescent="0.3">
      <c r="A11" s="2" t="s">
        <v>20</v>
      </c>
      <c r="B11" s="2" t="s">
        <v>25</v>
      </c>
      <c r="C11" s="2" t="s">
        <v>28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3F0A-5946-4DC5-8716-5B42D12728CF}">
  <dimension ref="A1:E12"/>
  <sheetViews>
    <sheetView workbookViewId="0">
      <selection activeCell="F1" sqref="F1"/>
    </sheetView>
  </sheetViews>
  <sheetFormatPr defaultRowHeight="14.4" x14ac:dyDescent="0.3"/>
  <cols>
    <col min="1" max="1" width="24.6640625" bestFit="1" customWidth="1"/>
    <col min="2" max="2" width="13.109375" bestFit="1" customWidth="1"/>
    <col min="3" max="3" width="17.44140625" bestFit="1" customWidth="1"/>
    <col min="4" max="4" width="14.77734375" bestFit="1" customWidth="1"/>
    <col min="5" max="5" width="8.88671875" customWidth="1"/>
  </cols>
  <sheetData>
    <row r="1" spans="1:5" x14ac:dyDescent="0.3">
      <c r="A1" s="10" t="s">
        <v>0</v>
      </c>
      <c r="B1" s="10" t="s">
        <v>24</v>
      </c>
      <c r="C1" s="10" t="s">
        <v>15</v>
      </c>
      <c r="D1" s="10" t="s">
        <v>112</v>
      </c>
      <c r="E1" s="10" t="s">
        <v>101</v>
      </c>
    </row>
    <row r="2" spans="1:5" x14ac:dyDescent="0.3">
      <c r="A2" s="2" t="s">
        <v>33</v>
      </c>
      <c r="B2" s="2" t="s">
        <v>32</v>
      </c>
      <c r="C2" s="2" t="s">
        <v>46</v>
      </c>
      <c r="D2" s="2">
        <v>520</v>
      </c>
      <c r="E2">
        <v>500</v>
      </c>
    </row>
    <row r="3" spans="1:5" x14ac:dyDescent="0.3">
      <c r="A3" s="2" t="s">
        <v>34</v>
      </c>
      <c r="B3" s="2" t="s">
        <v>32</v>
      </c>
      <c r="C3" s="2" t="s">
        <v>46</v>
      </c>
      <c r="D3" s="2">
        <v>248</v>
      </c>
      <c r="E3">
        <v>160</v>
      </c>
    </row>
    <row r="4" spans="1:5" x14ac:dyDescent="0.3">
      <c r="A4" s="2" t="s">
        <v>35</v>
      </c>
      <c r="B4" s="2" t="s">
        <v>32</v>
      </c>
      <c r="C4" s="2" t="s">
        <v>47</v>
      </c>
      <c r="D4" s="2">
        <v>200</v>
      </c>
      <c r="E4">
        <v>180</v>
      </c>
    </row>
    <row r="5" spans="1:5" x14ac:dyDescent="0.3">
      <c r="A5" s="2" t="s">
        <v>37</v>
      </c>
      <c r="B5" s="2" t="s">
        <v>32</v>
      </c>
      <c r="C5" s="2" t="s">
        <v>47</v>
      </c>
      <c r="D5" s="2">
        <v>46</v>
      </c>
      <c r="E5">
        <v>30</v>
      </c>
    </row>
    <row r="6" spans="1:5" x14ac:dyDescent="0.3">
      <c r="A6" s="2" t="s">
        <v>38</v>
      </c>
      <c r="B6" s="2" t="s">
        <v>32</v>
      </c>
      <c r="C6" s="2" t="s">
        <v>31</v>
      </c>
      <c r="D6" s="2">
        <v>95</v>
      </c>
      <c r="E6">
        <v>85</v>
      </c>
    </row>
    <row r="7" spans="1:5" x14ac:dyDescent="0.3">
      <c r="A7" s="2" t="s">
        <v>39</v>
      </c>
      <c r="B7" s="2" t="s">
        <v>32</v>
      </c>
      <c r="C7" s="2" t="s">
        <v>31</v>
      </c>
      <c r="D7" s="2">
        <v>35</v>
      </c>
      <c r="E7">
        <v>28</v>
      </c>
    </row>
    <row r="8" spans="1:5" x14ac:dyDescent="0.3">
      <c r="A8" s="2" t="s">
        <v>40</v>
      </c>
      <c r="B8" s="2" t="s">
        <v>32</v>
      </c>
      <c r="C8" s="2" t="s">
        <v>48</v>
      </c>
      <c r="D8" s="2">
        <v>60</v>
      </c>
      <c r="E8">
        <v>40</v>
      </c>
    </row>
    <row r="9" spans="1:5" x14ac:dyDescent="0.3">
      <c r="A9" s="2" t="s">
        <v>41</v>
      </c>
      <c r="B9" s="2" t="s">
        <v>32</v>
      </c>
      <c r="C9" s="2" t="s">
        <v>48</v>
      </c>
      <c r="D9" s="2">
        <v>120</v>
      </c>
      <c r="E9">
        <v>110</v>
      </c>
    </row>
    <row r="10" spans="1:5" x14ac:dyDescent="0.3">
      <c r="A10" s="2" t="s">
        <v>42</v>
      </c>
      <c r="B10" s="2" t="s">
        <v>32</v>
      </c>
      <c r="C10" s="2" t="s">
        <v>49</v>
      </c>
      <c r="D10" s="2">
        <v>50</v>
      </c>
      <c r="E10">
        <v>38</v>
      </c>
    </row>
    <row r="11" spans="1:5" x14ac:dyDescent="0.3">
      <c r="A11" s="2" t="s">
        <v>43</v>
      </c>
      <c r="B11" s="2" t="s">
        <v>32</v>
      </c>
      <c r="C11" s="2" t="s">
        <v>50</v>
      </c>
      <c r="D11" s="2">
        <v>250</v>
      </c>
      <c r="E11">
        <v>210</v>
      </c>
    </row>
    <row r="12" spans="1:5" x14ac:dyDescent="0.3">
      <c r="A12" s="2" t="s">
        <v>44</v>
      </c>
      <c r="B12" s="2" t="s">
        <v>32</v>
      </c>
      <c r="C12" s="2" t="s">
        <v>50</v>
      </c>
      <c r="D12" s="2">
        <v>249</v>
      </c>
      <c r="E12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6BC6-358A-42AA-96CF-684CA9AE38FB}">
  <dimension ref="A3:W90"/>
  <sheetViews>
    <sheetView topLeftCell="M2" zoomScale="76" zoomScaleNormal="100" workbookViewId="0">
      <selection activeCell="S17" sqref="S17"/>
    </sheetView>
  </sheetViews>
  <sheetFormatPr defaultRowHeight="14.4" x14ac:dyDescent="0.3"/>
  <cols>
    <col min="1" max="1" width="27.5546875" bestFit="1" customWidth="1"/>
    <col min="2" max="2" width="14.88671875" bestFit="1" customWidth="1"/>
    <col min="3" max="3" width="20" bestFit="1" customWidth="1"/>
    <col min="4" max="6" width="3" bestFit="1" customWidth="1"/>
    <col min="7" max="7" width="27.109375" bestFit="1" customWidth="1"/>
    <col min="8" max="8" width="21.44140625" customWidth="1"/>
    <col min="9" max="9" width="24.6640625" bestFit="1" customWidth="1"/>
    <col min="10" max="10" width="20.33203125" bestFit="1" customWidth="1"/>
    <col min="11" max="11" width="17.77734375" bestFit="1" customWidth="1"/>
    <col min="12" max="12" width="24.77734375" bestFit="1" customWidth="1"/>
    <col min="13" max="13" width="11.88671875" customWidth="1"/>
    <col min="14" max="17" width="4" bestFit="1" customWidth="1"/>
    <col min="18" max="18" width="7.21875" bestFit="1" customWidth="1"/>
    <col min="19" max="19" width="5.6640625" bestFit="1" customWidth="1"/>
    <col min="20" max="21" width="4" bestFit="1" customWidth="1"/>
    <col min="22" max="22" width="12.21875" bestFit="1" customWidth="1"/>
    <col min="23" max="23" width="5.44140625" bestFit="1" customWidth="1"/>
    <col min="24" max="25" width="4" bestFit="1" customWidth="1"/>
    <col min="26" max="27" width="5" bestFit="1" customWidth="1"/>
    <col min="28" max="28" width="10.77734375" bestFit="1" customWidth="1"/>
  </cols>
  <sheetData>
    <row r="3" spans="1:23" x14ac:dyDescent="0.3">
      <c r="A3" s="1" t="s">
        <v>22</v>
      </c>
      <c r="B3" t="s">
        <v>52</v>
      </c>
      <c r="G3" s="5" t="s">
        <v>22</v>
      </c>
      <c r="H3" s="5" t="s">
        <v>52</v>
      </c>
      <c r="I3" s="14" t="s">
        <v>53</v>
      </c>
      <c r="J3" s="14" t="s">
        <v>54</v>
      </c>
      <c r="L3" s="14" t="s">
        <v>15</v>
      </c>
      <c r="M3" s="14" t="s">
        <v>122</v>
      </c>
      <c r="R3" s="32" t="s">
        <v>1</v>
      </c>
      <c r="S3" s="32" t="s">
        <v>122</v>
      </c>
      <c r="V3" s="32" t="s">
        <v>87</v>
      </c>
      <c r="W3" s="32" t="s">
        <v>122</v>
      </c>
    </row>
    <row r="4" spans="1:23" x14ac:dyDescent="0.3">
      <c r="A4" s="2" t="s">
        <v>48</v>
      </c>
      <c r="B4" s="3">
        <v>2760</v>
      </c>
      <c r="G4" s="2" t="s">
        <v>33</v>
      </c>
      <c r="H4" s="3">
        <f>VLOOKUP(G4,$A$15:$B$25,2,FALSE)</f>
        <v>4680</v>
      </c>
      <c r="I4">
        <f>H4</f>
        <v>4680</v>
      </c>
      <c r="J4" s="7">
        <f>(I4/$I$14)*100</f>
        <v>23.055322922311444</v>
      </c>
      <c r="L4" s="2" t="s">
        <v>50</v>
      </c>
      <c r="M4" s="3">
        <v>1117</v>
      </c>
      <c r="R4" s="9" t="s">
        <v>57</v>
      </c>
      <c r="S4" s="3">
        <v>115</v>
      </c>
      <c r="V4" s="2" t="s">
        <v>88</v>
      </c>
      <c r="W4" s="3">
        <v>439</v>
      </c>
    </row>
    <row r="5" spans="1:23" x14ac:dyDescent="0.3">
      <c r="A5" s="2" t="s">
        <v>46</v>
      </c>
      <c r="B5" s="3">
        <v>6912</v>
      </c>
      <c r="G5" s="2" t="s">
        <v>44</v>
      </c>
      <c r="H5" s="3">
        <f>VLOOKUP(G5,$A$15:$B$25,2,FALSE)</f>
        <v>3237</v>
      </c>
      <c r="I5">
        <f>I4+H5</f>
        <v>7917</v>
      </c>
      <c r="J5" s="7">
        <f>(I5/$I$14)*100</f>
        <v>39.001921276910196</v>
      </c>
      <c r="L5" s="2" t="s">
        <v>46</v>
      </c>
      <c r="M5" s="3">
        <v>972</v>
      </c>
      <c r="R5" s="9" t="s">
        <v>58</v>
      </c>
      <c r="S5" s="3">
        <v>20</v>
      </c>
      <c r="V5" s="2" t="s">
        <v>89</v>
      </c>
      <c r="W5" s="3">
        <v>944</v>
      </c>
    </row>
    <row r="6" spans="1:23" x14ac:dyDescent="0.3">
      <c r="A6" s="2" t="s">
        <v>49</v>
      </c>
      <c r="B6" s="3">
        <v>1450</v>
      </c>
      <c r="G6" s="2" t="s">
        <v>43</v>
      </c>
      <c r="H6" s="3">
        <f>VLOOKUP(G6,$A$15:$B$25,2,FALSE)</f>
        <v>3000</v>
      </c>
      <c r="I6">
        <f>I5+H6</f>
        <v>10917</v>
      </c>
      <c r="J6" s="7">
        <f>(I6/$I$14)*100</f>
        <v>53.78097443223804</v>
      </c>
      <c r="L6" s="2" t="s">
        <v>48</v>
      </c>
      <c r="M6" s="3">
        <v>620</v>
      </c>
      <c r="R6" s="9" t="s">
        <v>59</v>
      </c>
      <c r="S6" s="3">
        <v>112</v>
      </c>
      <c r="V6" s="2" t="s">
        <v>90</v>
      </c>
      <c r="W6" s="3">
        <v>638</v>
      </c>
    </row>
    <row r="7" spans="1:23" x14ac:dyDescent="0.3">
      <c r="A7" s="2" t="s">
        <v>50</v>
      </c>
      <c r="B7" s="3">
        <v>6237</v>
      </c>
      <c r="G7" s="2" t="s">
        <v>34</v>
      </c>
      <c r="H7" s="3">
        <f>VLOOKUP(G7,$A$15:$B$25,2,FALSE)</f>
        <v>2232</v>
      </c>
      <c r="I7">
        <f>I6+H7</f>
        <v>13149</v>
      </c>
      <c r="J7" s="7">
        <f>(I7/$I$14)*100</f>
        <v>64.776589979801955</v>
      </c>
      <c r="L7" s="2" t="s">
        <v>47</v>
      </c>
      <c r="M7" s="3">
        <v>520</v>
      </c>
      <c r="R7" s="9" t="s">
        <v>60</v>
      </c>
      <c r="S7" s="3">
        <v>52</v>
      </c>
      <c r="V7" s="2" t="s">
        <v>91</v>
      </c>
      <c r="W7" s="3">
        <v>340</v>
      </c>
    </row>
    <row r="8" spans="1:23" x14ac:dyDescent="0.3">
      <c r="A8" s="2" t="s">
        <v>47</v>
      </c>
      <c r="B8" s="3">
        <v>1780</v>
      </c>
      <c r="G8" s="2" t="s">
        <v>40</v>
      </c>
      <c r="H8" s="3">
        <f>VLOOKUP(G8,$A$15:$B$25,2,FALSE)</f>
        <v>1560</v>
      </c>
      <c r="I8">
        <f>I7+H8</f>
        <v>14709</v>
      </c>
      <c r="J8" s="7">
        <f>(I8/$I$14)*100</f>
        <v>72.461697620572437</v>
      </c>
      <c r="L8" s="2" t="s">
        <v>49</v>
      </c>
      <c r="M8" s="3">
        <v>348</v>
      </c>
      <c r="R8" s="9" t="s">
        <v>61</v>
      </c>
      <c r="S8" s="3">
        <v>27</v>
      </c>
      <c r="V8" s="2" t="s">
        <v>92</v>
      </c>
      <c r="W8" s="3">
        <v>646</v>
      </c>
    </row>
    <row r="9" spans="1:23" x14ac:dyDescent="0.3">
      <c r="A9" s="2" t="s">
        <v>31</v>
      </c>
      <c r="B9" s="3">
        <v>1160</v>
      </c>
      <c r="G9" s="2" t="s">
        <v>42</v>
      </c>
      <c r="H9" s="3">
        <f>VLOOKUP(G9,$A$15:$B$25,2,FALSE)</f>
        <v>1450</v>
      </c>
      <c r="I9">
        <f>I8+H9</f>
        <v>16159</v>
      </c>
      <c r="J9" s="7">
        <f>(I9/$I$14)*100</f>
        <v>79.60490664564756</v>
      </c>
      <c r="L9" s="2" t="s">
        <v>31</v>
      </c>
      <c r="M9" s="3">
        <v>142</v>
      </c>
      <c r="R9" s="9" t="s">
        <v>62</v>
      </c>
      <c r="S9" s="3">
        <v>91</v>
      </c>
      <c r="V9" s="2" t="s">
        <v>93</v>
      </c>
      <c r="W9" s="3">
        <v>456</v>
      </c>
    </row>
    <row r="10" spans="1:23" x14ac:dyDescent="0.3">
      <c r="A10" s="2" t="s">
        <v>23</v>
      </c>
      <c r="B10" s="3">
        <v>20299</v>
      </c>
      <c r="G10" s="2" t="s">
        <v>37</v>
      </c>
      <c r="H10" s="3">
        <f>VLOOKUP(G10,$A$15:$B$25,2,FALSE)</f>
        <v>1380</v>
      </c>
      <c r="I10">
        <f>I9+H10</f>
        <v>17539</v>
      </c>
      <c r="J10" s="7">
        <f>(I10/$I$14)*100</f>
        <v>86.403271097098383</v>
      </c>
      <c r="R10" s="9" t="s">
        <v>63</v>
      </c>
      <c r="S10" s="3">
        <v>171</v>
      </c>
      <c r="V10" s="2" t="s">
        <v>94</v>
      </c>
      <c r="W10" s="3">
        <v>256</v>
      </c>
    </row>
    <row r="11" spans="1:23" x14ac:dyDescent="0.3">
      <c r="G11" s="2" t="s">
        <v>41</v>
      </c>
      <c r="H11" s="3">
        <f>VLOOKUP(G11,$A$15:$B$25,2,FALSE)</f>
        <v>1200</v>
      </c>
      <c r="I11">
        <f>I10+H11</f>
        <v>18739</v>
      </c>
      <c r="J11" s="7">
        <f>(I11/$I$14)*100</f>
        <v>92.314892359229518</v>
      </c>
      <c r="R11" s="9" t="s">
        <v>64</v>
      </c>
      <c r="S11" s="3">
        <v>109</v>
      </c>
    </row>
    <row r="12" spans="1:23" x14ac:dyDescent="0.3">
      <c r="G12" s="2" t="s">
        <v>38</v>
      </c>
      <c r="H12" s="3">
        <f>VLOOKUP(G12,$A$15:$B$25,2,FALSE)</f>
        <v>950</v>
      </c>
      <c r="I12">
        <f>I11+H12</f>
        <v>19689</v>
      </c>
      <c r="J12" s="7">
        <f>(I12/$I$14)*100</f>
        <v>96.994925858416664</v>
      </c>
      <c r="R12" s="9" t="s">
        <v>65</v>
      </c>
      <c r="S12" s="3">
        <v>129</v>
      </c>
    </row>
    <row r="13" spans="1:23" x14ac:dyDescent="0.3">
      <c r="G13" s="2" t="s">
        <v>35</v>
      </c>
      <c r="H13" s="3">
        <f>VLOOKUP(G13,$A$15:$B$25,2,FALSE)</f>
        <v>400</v>
      </c>
      <c r="I13">
        <f>I12+H13</f>
        <v>20089</v>
      </c>
      <c r="J13" s="7">
        <f>(I13/$I$14)*100</f>
        <v>98.965466279127043</v>
      </c>
      <c r="R13" s="9" t="s">
        <v>66</v>
      </c>
      <c r="S13" s="3">
        <v>188</v>
      </c>
    </row>
    <row r="14" spans="1:23" x14ac:dyDescent="0.3">
      <c r="A14" s="1" t="s">
        <v>22</v>
      </c>
      <c r="B14" t="s">
        <v>52</v>
      </c>
      <c r="G14" s="2" t="s">
        <v>39</v>
      </c>
      <c r="H14" s="3">
        <f>VLOOKUP(G14,$A$15:$B$25,2,FALSE)</f>
        <v>210</v>
      </c>
      <c r="I14">
        <f>I13+H14</f>
        <v>20299</v>
      </c>
      <c r="J14">
        <f>(I14/$I$14)*100</f>
        <v>100</v>
      </c>
      <c r="R14" s="9" t="s">
        <v>67</v>
      </c>
      <c r="S14" s="3">
        <v>96</v>
      </c>
    </row>
    <row r="15" spans="1:23" x14ac:dyDescent="0.3">
      <c r="A15" s="2" t="s">
        <v>39</v>
      </c>
      <c r="B15" s="3">
        <v>210</v>
      </c>
      <c r="G15" s="2"/>
      <c r="H15" s="3"/>
      <c r="R15" s="9" t="s">
        <v>68</v>
      </c>
      <c r="S15" s="3">
        <v>32</v>
      </c>
    </row>
    <row r="16" spans="1:23" x14ac:dyDescent="0.3">
      <c r="A16" s="2" t="s">
        <v>43</v>
      </c>
      <c r="B16" s="3">
        <v>3000</v>
      </c>
      <c r="G16" s="2"/>
      <c r="H16" s="3"/>
      <c r="R16" s="9" t="s">
        <v>69</v>
      </c>
      <c r="S16" s="3">
        <v>181</v>
      </c>
    </row>
    <row r="17" spans="1:19" x14ac:dyDescent="0.3">
      <c r="A17" s="2" t="s">
        <v>42</v>
      </c>
      <c r="B17" s="3">
        <v>1450</v>
      </c>
      <c r="R17" s="9" t="s">
        <v>70</v>
      </c>
      <c r="S17" s="3">
        <v>327</v>
      </c>
    </row>
    <row r="18" spans="1:19" x14ac:dyDescent="0.3">
      <c r="A18" s="2" t="s">
        <v>33</v>
      </c>
      <c r="B18" s="3">
        <v>4680</v>
      </c>
      <c r="R18" s="9" t="s">
        <v>71</v>
      </c>
      <c r="S18" s="3">
        <v>74</v>
      </c>
    </row>
    <row r="19" spans="1:19" x14ac:dyDescent="0.3">
      <c r="A19" s="2" t="s">
        <v>44</v>
      </c>
      <c r="B19" s="3">
        <v>3237</v>
      </c>
      <c r="G19" s="15" t="s">
        <v>15</v>
      </c>
      <c r="H19" s="16" t="s">
        <v>56</v>
      </c>
      <c r="I19" s="16" t="s">
        <v>95</v>
      </c>
      <c r="R19" s="9" t="s">
        <v>72</v>
      </c>
      <c r="S19" s="3">
        <v>112</v>
      </c>
    </row>
    <row r="20" spans="1:19" x14ac:dyDescent="0.3">
      <c r="A20" s="2" t="s">
        <v>34</v>
      </c>
      <c r="B20" s="3">
        <v>2232</v>
      </c>
      <c r="G20" s="2" t="s">
        <v>46</v>
      </c>
      <c r="H20" s="3">
        <v>6912</v>
      </c>
      <c r="I20" s="3">
        <v>18</v>
      </c>
      <c r="R20" s="9" t="s">
        <v>73</v>
      </c>
      <c r="S20" s="3">
        <v>89</v>
      </c>
    </row>
    <row r="21" spans="1:19" x14ac:dyDescent="0.3">
      <c r="A21" s="2" t="s">
        <v>41</v>
      </c>
      <c r="B21" s="3">
        <v>1200</v>
      </c>
      <c r="G21" s="2" t="s">
        <v>50</v>
      </c>
      <c r="H21" s="3">
        <v>6237</v>
      </c>
      <c r="I21" s="3">
        <v>25</v>
      </c>
      <c r="R21" s="9" t="s">
        <v>74</v>
      </c>
      <c r="S21" s="3">
        <v>120</v>
      </c>
    </row>
    <row r="22" spans="1:19" x14ac:dyDescent="0.3">
      <c r="A22" s="2" t="s">
        <v>35</v>
      </c>
      <c r="B22" s="3">
        <v>400</v>
      </c>
      <c r="G22" s="2" t="s">
        <v>48</v>
      </c>
      <c r="H22" s="3">
        <v>2760</v>
      </c>
      <c r="I22" s="3">
        <v>36</v>
      </c>
      <c r="R22" s="9" t="s">
        <v>75</v>
      </c>
      <c r="S22" s="3">
        <v>73</v>
      </c>
    </row>
    <row r="23" spans="1:19" x14ac:dyDescent="0.3">
      <c r="A23" s="2" t="s">
        <v>40</v>
      </c>
      <c r="B23" s="3">
        <v>1560</v>
      </c>
      <c r="G23" s="2" t="s">
        <v>47</v>
      </c>
      <c r="H23" s="3">
        <v>1780</v>
      </c>
      <c r="I23" s="3">
        <v>32</v>
      </c>
      <c r="R23" s="9" t="s">
        <v>76</v>
      </c>
      <c r="S23" s="3">
        <v>98</v>
      </c>
    </row>
    <row r="24" spans="1:19" x14ac:dyDescent="0.3">
      <c r="A24" s="2" t="s">
        <v>37</v>
      </c>
      <c r="B24" s="3">
        <v>1380</v>
      </c>
      <c r="G24" s="2" t="s">
        <v>49</v>
      </c>
      <c r="H24" s="3">
        <v>1450</v>
      </c>
      <c r="I24" s="3">
        <v>29</v>
      </c>
      <c r="R24" s="9" t="s">
        <v>77</v>
      </c>
      <c r="S24" s="3">
        <v>217</v>
      </c>
    </row>
    <row r="25" spans="1:19" x14ac:dyDescent="0.3">
      <c r="A25" s="2" t="s">
        <v>38</v>
      </c>
      <c r="B25" s="3">
        <v>950</v>
      </c>
      <c r="G25" s="2" t="s">
        <v>31</v>
      </c>
      <c r="H25" s="3">
        <v>1160</v>
      </c>
      <c r="I25" s="3">
        <v>16</v>
      </c>
      <c r="R25" s="9" t="s">
        <v>78</v>
      </c>
      <c r="S25" s="3">
        <v>82</v>
      </c>
    </row>
    <row r="26" spans="1:19" x14ac:dyDescent="0.3">
      <c r="A26" s="2" t="s">
        <v>23</v>
      </c>
      <c r="B26" s="3">
        <v>20299</v>
      </c>
      <c r="R26" s="9" t="s">
        <v>79</v>
      </c>
      <c r="S26" s="3">
        <v>19</v>
      </c>
    </row>
    <row r="27" spans="1:19" x14ac:dyDescent="0.3">
      <c r="R27" s="9" t="s">
        <v>80</v>
      </c>
      <c r="S27" s="3">
        <v>257</v>
      </c>
    </row>
    <row r="28" spans="1:19" x14ac:dyDescent="0.3">
      <c r="G28" s="15" t="s">
        <v>1</v>
      </c>
      <c r="H28" s="16" t="s">
        <v>36</v>
      </c>
      <c r="R28" s="9" t="s">
        <v>81</v>
      </c>
      <c r="S28" s="3">
        <v>188</v>
      </c>
    </row>
    <row r="29" spans="1:19" x14ac:dyDescent="0.3">
      <c r="G29" s="17" t="s">
        <v>57</v>
      </c>
      <c r="H29" s="3">
        <v>5</v>
      </c>
      <c r="R29" s="9" t="s">
        <v>82</v>
      </c>
      <c r="S29" s="3">
        <v>124</v>
      </c>
    </row>
    <row r="30" spans="1:19" x14ac:dyDescent="0.3">
      <c r="G30" s="17" t="s">
        <v>58</v>
      </c>
      <c r="H30" s="3">
        <v>1</v>
      </c>
      <c r="J30" s="32" t="s">
        <v>130</v>
      </c>
      <c r="K30" s="32" t="s">
        <v>51</v>
      </c>
      <c r="L30" s="32" t="s">
        <v>129</v>
      </c>
      <c r="M30" s="33" t="s">
        <v>54</v>
      </c>
      <c r="N30" s="32"/>
      <c r="O30" s="32"/>
      <c r="P30" s="32"/>
      <c r="Q30" s="32"/>
      <c r="R30" s="9" t="s">
        <v>83</v>
      </c>
      <c r="S30" s="3">
        <v>69</v>
      </c>
    </row>
    <row r="31" spans="1:19" x14ac:dyDescent="0.3">
      <c r="G31" s="17" t="s">
        <v>59</v>
      </c>
      <c r="H31" s="3">
        <v>5</v>
      </c>
      <c r="J31" s="2" t="s">
        <v>33</v>
      </c>
      <c r="K31" s="3">
        <v>4680</v>
      </c>
      <c r="L31">
        <f>K31</f>
        <v>4680</v>
      </c>
      <c r="M31" s="34">
        <f>L31/L41</f>
        <v>0.23055322922311444</v>
      </c>
      <c r="R31" s="9" t="s">
        <v>84</v>
      </c>
      <c r="S31" s="3">
        <v>229</v>
      </c>
    </row>
    <row r="32" spans="1:19" x14ac:dyDescent="0.3">
      <c r="G32" s="17" t="s">
        <v>60</v>
      </c>
      <c r="H32" s="3">
        <v>2</v>
      </c>
      <c r="J32" s="2" t="s">
        <v>44</v>
      </c>
      <c r="K32" s="3">
        <v>3237</v>
      </c>
      <c r="L32">
        <f>L31+K32</f>
        <v>7917</v>
      </c>
      <c r="M32" s="34">
        <f>L32/20299</f>
        <v>0.39001921276910195</v>
      </c>
      <c r="R32" s="9" t="s">
        <v>85</v>
      </c>
      <c r="S32" s="3">
        <v>258</v>
      </c>
    </row>
    <row r="33" spans="7:19" x14ac:dyDescent="0.3">
      <c r="G33" s="17" t="s">
        <v>61</v>
      </c>
      <c r="H33" s="3">
        <v>4</v>
      </c>
      <c r="J33" s="2" t="s">
        <v>43</v>
      </c>
      <c r="K33" s="3">
        <v>3000</v>
      </c>
      <c r="L33">
        <f t="shared" ref="L33:L41" si="0">L32+K33</f>
        <v>10917</v>
      </c>
      <c r="M33" s="34">
        <f t="shared" ref="M33:M41" si="1">L33/20299</f>
        <v>0.53780974432238038</v>
      </c>
      <c r="R33" s="9" t="s">
        <v>86</v>
      </c>
      <c r="S33" s="3">
        <v>60</v>
      </c>
    </row>
    <row r="34" spans="7:19" x14ac:dyDescent="0.3">
      <c r="G34" s="17" t="s">
        <v>62</v>
      </c>
      <c r="H34" s="3">
        <v>7</v>
      </c>
      <c r="J34" s="2" t="s">
        <v>34</v>
      </c>
      <c r="K34" s="3">
        <v>2232</v>
      </c>
      <c r="L34">
        <f t="shared" si="0"/>
        <v>13149</v>
      </c>
      <c r="M34" s="34">
        <f t="shared" si="1"/>
        <v>0.64776589979801957</v>
      </c>
    </row>
    <row r="35" spans="7:19" x14ac:dyDescent="0.3">
      <c r="G35" s="17" t="s">
        <v>63</v>
      </c>
      <c r="H35" s="3">
        <v>7</v>
      </c>
      <c r="J35" s="2" t="s">
        <v>40</v>
      </c>
      <c r="K35" s="3">
        <v>1560</v>
      </c>
      <c r="L35">
        <f t="shared" si="0"/>
        <v>14709</v>
      </c>
      <c r="M35" s="34">
        <f t="shared" si="1"/>
        <v>0.72461697620572441</v>
      </c>
    </row>
    <row r="36" spans="7:19" x14ac:dyDescent="0.3">
      <c r="G36" s="17" t="s">
        <v>64</v>
      </c>
      <c r="H36" s="3">
        <v>6</v>
      </c>
      <c r="J36" s="2" t="s">
        <v>42</v>
      </c>
      <c r="K36" s="3">
        <v>1450</v>
      </c>
      <c r="L36">
        <f t="shared" si="0"/>
        <v>16159</v>
      </c>
      <c r="M36" s="34">
        <f t="shared" si="1"/>
        <v>0.79604906645647566</v>
      </c>
    </row>
    <row r="37" spans="7:19" x14ac:dyDescent="0.3">
      <c r="G37" s="17" t="s">
        <v>65</v>
      </c>
      <c r="H37" s="3">
        <v>10</v>
      </c>
      <c r="J37" s="2" t="s">
        <v>37</v>
      </c>
      <c r="K37" s="3">
        <v>1380</v>
      </c>
      <c r="L37">
        <f t="shared" si="0"/>
        <v>17539</v>
      </c>
      <c r="M37" s="34">
        <f t="shared" si="1"/>
        <v>0.86403271097098377</v>
      </c>
    </row>
    <row r="38" spans="7:19" x14ac:dyDescent="0.3">
      <c r="G38" s="17" t="s">
        <v>66</v>
      </c>
      <c r="H38" s="3">
        <v>7</v>
      </c>
      <c r="J38" s="2" t="s">
        <v>41</v>
      </c>
      <c r="K38" s="3">
        <v>1200</v>
      </c>
      <c r="L38">
        <f t="shared" si="0"/>
        <v>18739</v>
      </c>
      <c r="M38" s="34">
        <f t="shared" si="1"/>
        <v>0.92314892359229517</v>
      </c>
    </row>
    <row r="39" spans="7:19" x14ac:dyDescent="0.3">
      <c r="G39" s="17" t="s">
        <v>67</v>
      </c>
      <c r="H39" s="3">
        <v>4</v>
      </c>
      <c r="J39" s="2" t="s">
        <v>38</v>
      </c>
      <c r="K39" s="3">
        <v>950</v>
      </c>
      <c r="L39">
        <f t="shared" si="0"/>
        <v>19689</v>
      </c>
      <c r="M39" s="34">
        <f t="shared" si="1"/>
        <v>0.9699492585841667</v>
      </c>
    </row>
    <row r="40" spans="7:19" x14ac:dyDescent="0.3">
      <c r="G40" s="17" t="s">
        <v>68</v>
      </c>
      <c r="H40" s="3">
        <v>1</v>
      </c>
      <c r="J40" s="2" t="s">
        <v>35</v>
      </c>
      <c r="K40" s="3">
        <v>400</v>
      </c>
      <c r="L40">
        <f t="shared" si="0"/>
        <v>20089</v>
      </c>
      <c r="M40" s="34">
        <f t="shared" si="1"/>
        <v>0.98965466279127046</v>
      </c>
    </row>
    <row r="41" spans="7:19" x14ac:dyDescent="0.3">
      <c r="G41" s="17" t="s">
        <v>69</v>
      </c>
      <c r="H41" s="3">
        <v>9</v>
      </c>
      <c r="J41" s="2" t="s">
        <v>39</v>
      </c>
      <c r="K41" s="3">
        <v>210</v>
      </c>
      <c r="L41">
        <f t="shared" si="0"/>
        <v>20299</v>
      </c>
      <c r="M41" s="34">
        <f t="shared" si="1"/>
        <v>1</v>
      </c>
    </row>
    <row r="42" spans="7:19" x14ac:dyDescent="0.3">
      <c r="G42" s="17" t="s">
        <v>70</v>
      </c>
      <c r="H42" s="3">
        <v>9</v>
      </c>
    </row>
    <row r="43" spans="7:19" x14ac:dyDescent="0.3">
      <c r="G43" s="17" t="s">
        <v>71</v>
      </c>
      <c r="H43" s="3">
        <v>4</v>
      </c>
    </row>
    <row r="44" spans="7:19" x14ac:dyDescent="0.3">
      <c r="G44" s="17" t="s">
        <v>72</v>
      </c>
      <c r="H44" s="3">
        <v>3</v>
      </c>
      <c r="J44" s="1" t="s">
        <v>22</v>
      </c>
      <c r="K44" t="s">
        <v>131</v>
      </c>
    </row>
    <row r="45" spans="7:19" x14ac:dyDescent="0.3">
      <c r="G45" s="17" t="s">
        <v>73</v>
      </c>
      <c r="H45" s="3">
        <v>3</v>
      </c>
      <c r="J45" s="2" t="s">
        <v>88</v>
      </c>
      <c r="K45" s="3">
        <v>439</v>
      </c>
    </row>
    <row r="46" spans="7:19" x14ac:dyDescent="0.3">
      <c r="G46" s="17" t="s">
        <v>74</v>
      </c>
      <c r="H46" s="3">
        <v>7</v>
      </c>
      <c r="J46" s="2" t="s">
        <v>89</v>
      </c>
      <c r="K46" s="3">
        <v>944</v>
      </c>
    </row>
    <row r="47" spans="7:19" x14ac:dyDescent="0.3">
      <c r="G47" s="17" t="s">
        <v>75</v>
      </c>
      <c r="H47" s="3">
        <v>3</v>
      </c>
      <c r="J47" s="2" t="s">
        <v>90</v>
      </c>
      <c r="K47" s="3">
        <v>638</v>
      </c>
    </row>
    <row r="48" spans="7:19" x14ac:dyDescent="0.3">
      <c r="G48" s="17" t="s">
        <v>76</v>
      </c>
      <c r="H48" s="3">
        <v>6</v>
      </c>
      <c r="J48" s="2" t="s">
        <v>91</v>
      </c>
      <c r="K48" s="3">
        <v>340</v>
      </c>
    </row>
    <row r="49" spans="1:11" x14ac:dyDescent="0.3">
      <c r="G49" s="17" t="s">
        <v>77</v>
      </c>
      <c r="H49" s="3">
        <v>7</v>
      </c>
      <c r="J49" s="2" t="s">
        <v>92</v>
      </c>
      <c r="K49" s="3">
        <v>646</v>
      </c>
    </row>
    <row r="50" spans="1:11" x14ac:dyDescent="0.3">
      <c r="A50" s="16" t="s">
        <v>1</v>
      </c>
      <c r="B50" s="16" t="s">
        <v>52</v>
      </c>
      <c r="G50" s="17" t="s">
        <v>78</v>
      </c>
      <c r="H50" s="3">
        <v>4</v>
      </c>
      <c r="J50" s="2" t="s">
        <v>93</v>
      </c>
      <c r="K50" s="3">
        <v>456</v>
      </c>
    </row>
    <row r="51" spans="1:11" x14ac:dyDescent="0.3">
      <c r="A51" s="9" t="s">
        <v>57</v>
      </c>
      <c r="B51" s="3">
        <v>995</v>
      </c>
      <c r="G51" s="17" t="s">
        <v>79</v>
      </c>
      <c r="H51" s="3">
        <v>3</v>
      </c>
      <c r="J51" s="2" t="s">
        <v>94</v>
      </c>
      <c r="K51" s="3">
        <v>256</v>
      </c>
    </row>
    <row r="52" spans="1:11" x14ac:dyDescent="0.3">
      <c r="A52" s="9" t="s">
        <v>58</v>
      </c>
      <c r="B52" s="3">
        <v>60</v>
      </c>
      <c r="G52" s="17" t="s">
        <v>80</v>
      </c>
      <c r="H52" s="3">
        <v>6</v>
      </c>
      <c r="J52" s="2" t="s">
        <v>23</v>
      </c>
      <c r="K52" s="3">
        <v>3719</v>
      </c>
    </row>
    <row r="53" spans="1:11" x14ac:dyDescent="0.3">
      <c r="A53" s="9" t="s">
        <v>59</v>
      </c>
      <c r="B53" s="3">
        <v>462</v>
      </c>
      <c r="G53" s="17" t="s">
        <v>81</v>
      </c>
      <c r="H53" s="3">
        <v>6</v>
      </c>
    </row>
    <row r="54" spans="1:11" x14ac:dyDescent="0.3">
      <c r="A54" s="9" t="s">
        <v>60</v>
      </c>
      <c r="B54" s="3">
        <v>300</v>
      </c>
      <c r="G54" s="17" t="s">
        <v>82</v>
      </c>
      <c r="H54" s="3">
        <v>8</v>
      </c>
    </row>
    <row r="55" spans="1:11" x14ac:dyDescent="0.3">
      <c r="A55" s="9" t="s">
        <v>61</v>
      </c>
      <c r="B55" s="3">
        <v>275</v>
      </c>
      <c r="G55" s="17" t="s">
        <v>83</v>
      </c>
      <c r="H55" s="3">
        <v>4</v>
      </c>
    </row>
    <row r="56" spans="1:11" x14ac:dyDescent="0.3">
      <c r="A56" s="9" t="s">
        <v>62</v>
      </c>
      <c r="B56" s="3">
        <v>592</v>
      </c>
      <c r="G56" s="17" t="s">
        <v>84</v>
      </c>
      <c r="H56" s="3">
        <v>5</v>
      </c>
    </row>
    <row r="57" spans="1:11" x14ac:dyDescent="0.3">
      <c r="A57" s="9" t="s">
        <v>63</v>
      </c>
      <c r="B57" s="3">
        <v>1266</v>
      </c>
      <c r="G57" s="17" t="s">
        <v>85</v>
      </c>
      <c r="H57" s="3">
        <v>10</v>
      </c>
    </row>
    <row r="58" spans="1:11" x14ac:dyDescent="0.3">
      <c r="A58" s="9" t="s">
        <v>64</v>
      </c>
      <c r="B58" s="3">
        <v>635</v>
      </c>
      <c r="G58" s="17" t="s">
        <v>86</v>
      </c>
      <c r="H58" s="3">
        <v>2</v>
      </c>
    </row>
    <row r="59" spans="1:11" x14ac:dyDescent="0.3">
      <c r="A59" s="9" t="s">
        <v>65</v>
      </c>
      <c r="B59" s="3">
        <v>470</v>
      </c>
    </row>
    <row r="60" spans="1:11" x14ac:dyDescent="0.3">
      <c r="A60" s="9" t="s">
        <v>66</v>
      </c>
      <c r="B60" s="3">
        <v>1016</v>
      </c>
      <c r="G60" s="18" t="s">
        <v>87</v>
      </c>
      <c r="H60" s="16" t="s">
        <v>55</v>
      </c>
    </row>
    <row r="61" spans="1:11" x14ac:dyDescent="0.3">
      <c r="A61" s="9" t="s">
        <v>67</v>
      </c>
      <c r="B61" s="3">
        <v>546</v>
      </c>
      <c r="G61" s="2" t="s">
        <v>88</v>
      </c>
      <c r="H61" s="3">
        <v>27</v>
      </c>
    </row>
    <row r="62" spans="1:11" x14ac:dyDescent="0.3">
      <c r="A62" s="9" t="s">
        <v>68</v>
      </c>
      <c r="B62" s="3">
        <v>570</v>
      </c>
      <c r="G62" s="2" t="s">
        <v>89</v>
      </c>
      <c r="H62" s="3">
        <v>28</v>
      </c>
    </row>
    <row r="63" spans="1:11" x14ac:dyDescent="0.3">
      <c r="A63" s="9" t="s">
        <v>69</v>
      </c>
      <c r="B63" s="3">
        <v>685</v>
      </c>
      <c r="G63" s="2" t="s">
        <v>90</v>
      </c>
      <c r="H63" s="3">
        <v>30</v>
      </c>
    </row>
    <row r="64" spans="1:11" x14ac:dyDescent="0.3">
      <c r="A64" s="9" t="s">
        <v>70</v>
      </c>
      <c r="B64" s="3">
        <v>1112</v>
      </c>
      <c r="G64" s="2" t="s">
        <v>91</v>
      </c>
      <c r="H64" s="3">
        <v>17</v>
      </c>
    </row>
    <row r="65" spans="1:8" x14ac:dyDescent="0.3">
      <c r="A65" s="9" t="s">
        <v>71</v>
      </c>
      <c r="B65" s="3">
        <v>1235</v>
      </c>
      <c r="G65" s="2" t="s">
        <v>92</v>
      </c>
      <c r="H65" s="3">
        <v>20</v>
      </c>
    </row>
    <row r="66" spans="1:8" x14ac:dyDescent="0.3">
      <c r="A66" s="9" t="s">
        <v>72</v>
      </c>
      <c r="B66" s="3">
        <v>348</v>
      </c>
      <c r="G66" s="2" t="s">
        <v>93</v>
      </c>
      <c r="H66" s="3">
        <v>18</v>
      </c>
    </row>
    <row r="67" spans="1:8" x14ac:dyDescent="0.3">
      <c r="A67" s="9" t="s">
        <v>73</v>
      </c>
      <c r="B67" s="3">
        <v>369</v>
      </c>
      <c r="G67" s="2" t="s">
        <v>94</v>
      </c>
      <c r="H67" s="3">
        <v>16</v>
      </c>
    </row>
    <row r="68" spans="1:8" x14ac:dyDescent="0.3">
      <c r="A68" s="9" t="s">
        <v>74</v>
      </c>
      <c r="B68" s="3">
        <v>671</v>
      </c>
    </row>
    <row r="69" spans="1:8" x14ac:dyDescent="0.3">
      <c r="A69" s="9" t="s">
        <v>75</v>
      </c>
      <c r="B69" s="3">
        <v>349</v>
      </c>
    </row>
    <row r="70" spans="1:8" x14ac:dyDescent="0.3">
      <c r="A70" s="9" t="s">
        <v>76</v>
      </c>
      <c r="B70" s="3">
        <v>856</v>
      </c>
    </row>
    <row r="71" spans="1:8" x14ac:dyDescent="0.3">
      <c r="A71" s="9" t="s">
        <v>77</v>
      </c>
      <c r="B71" s="3">
        <v>763</v>
      </c>
      <c r="G71" s="20" t="s">
        <v>109</v>
      </c>
    </row>
    <row r="72" spans="1:8" x14ac:dyDescent="0.3">
      <c r="A72" s="9" t="s">
        <v>78</v>
      </c>
      <c r="B72" s="3">
        <v>455</v>
      </c>
      <c r="G72" s="24" t="s">
        <v>124</v>
      </c>
      <c r="H72" s="24" t="s">
        <v>123</v>
      </c>
    </row>
    <row r="73" spans="1:8" x14ac:dyDescent="0.3">
      <c r="A73" s="9" t="s">
        <v>79</v>
      </c>
      <c r="B73" s="3">
        <v>85</v>
      </c>
      <c r="G73" s="25" t="s">
        <v>104</v>
      </c>
      <c r="H73" s="31">
        <f>AVERAGE(H29:H58)</f>
        <v>5.2666666666666666</v>
      </c>
    </row>
    <row r="74" spans="1:8" x14ac:dyDescent="0.3">
      <c r="A74" s="9" t="s">
        <v>80</v>
      </c>
      <c r="B74" s="3">
        <v>995</v>
      </c>
      <c r="G74" s="25" t="s">
        <v>105</v>
      </c>
      <c r="H74" s="25">
        <f>MIN(H29:H58)</f>
        <v>1</v>
      </c>
    </row>
    <row r="75" spans="1:8" x14ac:dyDescent="0.3">
      <c r="A75" s="9" t="s">
        <v>81</v>
      </c>
      <c r="B75" s="3">
        <v>963</v>
      </c>
      <c r="G75" s="25" t="s">
        <v>106</v>
      </c>
      <c r="H75" s="25">
        <f>MAX(H29:H58)</f>
        <v>10</v>
      </c>
    </row>
    <row r="76" spans="1:8" x14ac:dyDescent="0.3">
      <c r="A76" s="9" t="s">
        <v>82</v>
      </c>
      <c r="B76" s="3">
        <v>390</v>
      </c>
      <c r="G76" s="25" t="s">
        <v>107</v>
      </c>
      <c r="H76" s="30">
        <f>_xlfn.STDEV.P(H29:H58)</f>
        <v>2.4756592836836186</v>
      </c>
    </row>
    <row r="77" spans="1:8" x14ac:dyDescent="0.3">
      <c r="A77" s="9" t="s">
        <v>83</v>
      </c>
      <c r="B77" s="3">
        <v>1220</v>
      </c>
      <c r="G77" s="25" t="s">
        <v>108</v>
      </c>
      <c r="H77" s="30">
        <f>_xlfn.VAR.P(H29:H58)</f>
        <v>6.1288888888888886</v>
      </c>
    </row>
    <row r="78" spans="1:8" x14ac:dyDescent="0.3">
      <c r="A78" s="9" t="s">
        <v>84</v>
      </c>
      <c r="B78" s="3">
        <v>1047</v>
      </c>
      <c r="G78" s="25" t="s">
        <v>110</v>
      </c>
      <c r="H78" s="29">
        <f>SKEW(H29:H58)</f>
        <v>0.1905490815274814</v>
      </c>
    </row>
    <row r="79" spans="1:8" x14ac:dyDescent="0.3">
      <c r="A79" s="9" t="s">
        <v>85</v>
      </c>
      <c r="B79" s="3">
        <v>1259</v>
      </c>
    </row>
    <row r="80" spans="1:8" x14ac:dyDescent="0.3">
      <c r="A80" s="9" t="s">
        <v>86</v>
      </c>
      <c r="B80" s="3">
        <v>310</v>
      </c>
      <c r="G80" t="s">
        <v>111</v>
      </c>
    </row>
    <row r="81" spans="1:8" x14ac:dyDescent="0.3">
      <c r="A81" s="19" t="s">
        <v>23</v>
      </c>
      <c r="B81" s="6">
        <v>22393</v>
      </c>
    </row>
    <row r="83" spans="1:8" x14ac:dyDescent="0.3">
      <c r="G83" s="20" t="s">
        <v>125</v>
      </c>
    </row>
    <row r="84" spans="1:8" x14ac:dyDescent="0.3">
      <c r="G84" s="24" t="s">
        <v>124</v>
      </c>
      <c r="H84" s="24" t="s">
        <v>123</v>
      </c>
    </row>
    <row r="85" spans="1:8" x14ac:dyDescent="0.3">
      <c r="G85" s="25" t="s">
        <v>104</v>
      </c>
      <c r="H85" s="30">
        <f>AVERAGE(B51:B80)</f>
        <v>676.63333333333333</v>
      </c>
    </row>
    <row r="86" spans="1:8" x14ac:dyDescent="0.3">
      <c r="G86" s="25" t="s">
        <v>105</v>
      </c>
      <c r="H86" s="25">
        <f>MIN(B51:B80)</f>
        <v>60</v>
      </c>
    </row>
    <row r="87" spans="1:8" x14ac:dyDescent="0.3">
      <c r="G87" s="25" t="s">
        <v>106</v>
      </c>
      <c r="H87" s="25">
        <f>MAX(B51:B80)</f>
        <v>1266</v>
      </c>
    </row>
    <row r="88" spans="1:8" x14ac:dyDescent="0.3">
      <c r="G88" s="25" t="s">
        <v>107</v>
      </c>
      <c r="H88" s="30">
        <f>_xlfn.STDEV.P(B51:B80)</f>
        <v>355.67171036723676</v>
      </c>
    </row>
    <row r="89" spans="1:8" x14ac:dyDescent="0.3">
      <c r="G89" s="25" t="s">
        <v>108</v>
      </c>
      <c r="H89" s="30">
        <f>_xlfn.VAR.P(B51:B80)</f>
        <v>126502.36555555556</v>
      </c>
    </row>
    <row r="90" spans="1:8" x14ac:dyDescent="0.3">
      <c r="G90" s="25" t="s">
        <v>110</v>
      </c>
      <c r="H90" s="30">
        <f>SKEW(B51:B80)</f>
        <v>0.18534471059818203</v>
      </c>
    </row>
  </sheetData>
  <sortState ref="L4:M9">
    <sortCondition descending="1" ref="M4:M9"/>
  </sortState>
  <pageMargins left="0.7" right="0.7" top="0.75" bottom="0.75" header="0.3" footer="0.3"/>
  <pageSetup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1742-BC23-4BB8-989A-0A8FBC479855}">
  <dimension ref="A4:I67"/>
  <sheetViews>
    <sheetView topLeftCell="A11" zoomScale="52" zoomScaleNormal="25" workbookViewId="0">
      <selection activeCell="I26" sqref="I26"/>
    </sheetView>
  </sheetViews>
  <sheetFormatPr defaultRowHeight="14.4" x14ac:dyDescent="0.3"/>
  <cols>
    <col min="1" max="1" width="24.6640625" bestFit="1" customWidth="1"/>
    <col min="2" max="2" width="19.6640625" bestFit="1" customWidth="1"/>
    <col min="3" max="3" width="20.109375" bestFit="1" customWidth="1"/>
    <col min="4" max="4" width="23.33203125" bestFit="1" customWidth="1"/>
    <col min="5" max="5" width="29.77734375" bestFit="1" customWidth="1"/>
    <col min="6" max="6" width="24.5546875" bestFit="1" customWidth="1"/>
    <col min="7" max="7" width="13" bestFit="1" customWidth="1"/>
    <col min="8" max="8" width="11.5546875" bestFit="1" customWidth="1"/>
    <col min="9" max="9" width="33.44140625" bestFit="1" customWidth="1"/>
    <col min="10" max="10" width="10.77734375" bestFit="1" customWidth="1"/>
    <col min="11" max="11" width="6.33203125" bestFit="1" customWidth="1"/>
    <col min="12" max="12" width="8.77734375" bestFit="1" customWidth="1"/>
    <col min="13" max="13" width="23.77734375" bestFit="1" customWidth="1"/>
    <col min="14" max="14" width="6" bestFit="1" customWidth="1"/>
    <col min="15" max="15" width="10.77734375" bestFit="1" customWidth="1"/>
  </cols>
  <sheetData>
    <row r="4" spans="1:9" x14ac:dyDescent="0.3">
      <c r="D4" s="16" t="s">
        <v>10</v>
      </c>
      <c r="E4" s="16" t="s">
        <v>97</v>
      </c>
    </row>
    <row r="5" spans="1:9" x14ac:dyDescent="0.3">
      <c r="D5" s="2" t="s">
        <v>13</v>
      </c>
      <c r="E5" s="3">
        <v>5020</v>
      </c>
    </row>
    <row r="6" spans="1:9" x14ac:dyDescent="0.3">
      <c r="D6" s="2" t="s">
        <v>12</v>
      </c>
      <c r="E6" s="3">
        <v>2500.1</v>
      </c>
    </row>
    <row r="7" spans="1:9" x14ac:dyDescent="0.3">
      <c r="D7" s="2" t="s">
        <v>11</v>
      </c>
      <c r="E7" s="3">
        <v>660</v>
      </c>
    </row>
    <row r="8" spans="1:9" x14ac:dyDescent="0.3">
      <c r="A8" s="1" t="s">
        <v>22</v>
      </c>
      <c r="B8" t="s">
        <v>96</v>
      </c>
    </row>
    <row r="9" spans="1:9" x14ac:dyDescent="0.3">
      <c r="A9" s="2" t="s">
        <v>29</v>
      </c>
      <c r="B9" s="3">
        <v>1913.6</v>
      </c>
    </row>
    <row r="10" spans="1:9" x14ac:dyDescent="0.3">
      <c r="A10" s="2" t="s">
        <v>27</v>
      </c>
      <c r="B10" s="3">
        <v>1248</v>
      </c>
    </row>
    <row r="11" spans="1:9" x14ac:dyDescent="0.3">
      <c r="A11" s="2" t="s">
        <v>26</v>
      </c>
      <c r="B11" s="3">
        <v>2392</v>
      </c>
    </row>
    <row r="12" spans="1:9" x14ac:dyDescent="0.3">
      <c r="A12" s="2" t="s">
        <v>28</v>
      </c>
      <c r="B12" s="3">
        <v>550</v>
      </c>
    </row>
    <row r="13" spans="1:9" x14ac:dyDescent="0.3">
      <c r="A13" s="2" t="s">
        <v>30</v>
      </c>
      <c r="B13" s="3">
        <v>2076.5</v>
      </c>
    </row>
    <row r="14" spans="1:9" x14ac:dyDescent="0.3">
      <c r="A14" s="2" t="s">
        <v>23</v>
      </c>
      <c r="B14" s="3">
        <v>8180.1</v>
      </c>
    </row>
    <row r="16" spans="1:9" x14ac:dyDescent="0.3">
      <c r="D16" s="15" t="s">
        <v>10</v>
      </c>
      <c r="E16" s="16" t="s">
        <v>29</v>
      </c>
      <c r="F16" s="16" t="s">
        <v>98</v>
      </c>
      <c r="G16" s="16" t="s">
        <v>99</v>
      </c>
      <c r="H16" s="16" t="s">
        <v>28</v>
      </c>
      <c r="I16" s="16" t="s">
        <v>100</v>
      </c>
    </row>
    <row r="17" spans="1:9" x14ac:dyDescent="0.3">
      <c r="D17" s="2" t="s">
        <v>12</v>
      </c>
      <c r="E17" s="3">
        <v>803.6</v>
      </c>
      <c r="F17" s="3"/>
      <c r="G17" s="3"/>
      <c r="H17" s="3"/>
      <c r="I17" s="3">
        <v>1696.5</v>
      </c>
    </row>
    <row r="18" spans="1:9" x14ac:dyDescent="0.3">
      <c r="D18" s="2" t="s">
        <v>13</v>
      </c>
      <c r="E18" s="3">
        <v>1110</v>
      </c>
      <c r="F18" s="3">
        <v>588</v>
      </c>
      <c r="G18" s="3">
        <v>2392</v>
      </c>
      <c r="H18" s="3">
        <v>550</v>
      </c>
      <c r="I18" s="3">
        <v>380</v>
      </c>
    </row>
    <row r="19" spans="1:9" x14ac:dyDescent="0.3">
      <c r="D19" s="2" t="s">
        <v>11</v>
      </c>
      <c r="E19" s="3"/>
      <c r="F19" s="3">
        <v>660</v>
      </c>
      <c r="G19" s="3"/>
      <c r="H19" s="3"/>
      <c r="I19" s="3"/>
    </row>
    <row r="30" spans="1:9" x14ac:dyDescent="0.3">
      <c r="A30" s="21" t="s">
        <v>15</v>
      </c>
      <c r="B30" s="21" t="s">
        <v>120</v>
      </c>
      <c r="D30" s="21" t="s">
        <v>117</v>
      </c>
      <c r="E30" s="21" t="s">
        <v>118</v>
      </c>
    </row>
    <row r="31" spans="1:9" x14ac:dyDescent="0.3">
      <c r="A31" s="2" t="s">
        <v>26</v>
      </c>
      <c r="B31" s="3">
        <v>793.57142857142856</v>
      </c>
      <c r="D31" s="2" t="s">
        <v>13</v>
      </c>
      <c r="E31" s="3">
        <v>18</v>
      </c>
    </row>
    <row r="32" spans="1:9" x14ac:dyDescent="0.3">
      <c r="A32" s="2" t="s">
        <v>27</v>
      </c>
      <c r="B32" s="3">
        <v>410.2</v>
      </c>
      <c r="D32" s="2" t="s">
        <v>12</v>
      </c>
      <c r="E32" s="3">
        <v>4</v>
      </c>
    </row>
    <row r="33" spans="1:5" x14ac:dyDescent="0.3">
      <c r="A33" s="2" t="s">
        <v>29</v>
      </c>
      <c r="B33" s="3">
        <v>388.75</v>
      </c>
      <c r="D33" s="2" t="s">
        <v>11</v>
      </c>
      <c r="E33" s="3">
        <v>2</v>
      </c>
    </row>
    <row r="34" spans="1:5" x14ac:dyDescent="0.3">
      <c r="A34" s="2" t="s">
        <v>30</v>
      </c>
      <c r="B34" s="3">
        <v>377.2</v>
      </c>
    </row>
    <row r="35" spans="1:5" x14ac:dyDescent="0.3">
      <c r="A35" s="2" t="s">
        <v>28</v>
      </c>
      <c r="B35" s="3">
        <v>308</v>
      </c>
    </row>
    <row r="36" spans="1:5" x14ac:dyDescent="0.3">
      <c r="D36" s="22" t="s">
        <v>15</v>
      </c>
      <c r="E36" s="21" t="s">
        <v>119</v>
      </c>
    </row>
    <row r="37" spans="1:5" x14ac:dyDescent="0.3">
      <c r="D37" s="2" t="s">
        <v>29</v>
      </c>
      <c r="E37" s="3">
        <v>1913.6</v>
      </c>
    </row>
    <row r="38" spans="1:5" x14ac:dyDescent="0.3">
      <c r="D38" s="2" t="s">
        <v>27</v>
      </c>
      <c r="E38" s="3">
        <v>1248</v>
      </c>
    </row>
    <row r="39" spans="1:5" x14ac:dyDescent="0.3">
      <c r="D39" s="2" t="s">
        <v>26</v>
      </c>
      <c r="E39" s="3">
        <v>2392</v>
      </c>
    </row>
    <row r="40" spans="1:5" x14ac:dyDescent="0.3">
      <c r="D40" s="2" t="s">
        <v>28</v>
      </c>
      <c r="E40" s="3">
        <v>550</v>
      </c>
    </row>
    <row r="41" spans="1:5" x14ac:dyDescent="0.3">
      <c r="D41" s="2" t="s">
        <v>30</v>
      </c>
      <c r="E41" s="3">
        <v>2076.5</v>
      </c>
    </row>
    <row r="44" spans="1:5" x14ac:dyDescent="0.3">
      <c r="D44" s="22" t="s">
        <v>1</v>
      </c>
      <c r="E44" s="21" t="s">
        <v>126</v>
      </c>
    </row>
    <row r="45" spans="1:5" x14ac:dyDescent="0.3">
      <c r="D45" s="9" t="s">
        <v>57</v>
      </c>
      <c r="E45" s="3">
        <v>1624</v>
      </c>
    </row>
    <row r="46" spans="1:5" x14ac:dyDescent="0.3">
      <c r="D46" s="9" t="s">
        <v>62</v>
      </c>
      <c r="E46" s="3">
        <v>1118.5999999999999</v>
      </c>
    </row>
    <row r="47" spans="1:5" x14ac:dyDescent="0.3">
      <c r="D47" s="9" t="s">
        <v>64</v>
      </c>
      <c r="E47" s="3">
        <v>1320</v>
      </c>
    </row>
    <row r="48" spans="1:5" x14ac:dyDescent="0.3">
      <c r="D48" s="9" t="s">
        <v>67</v>
      </c>
      <c r="E48" s="3">
        <v>559.29999999999995</v>
      </c>
    </row>
    <row r="49" spans="4:5" x14ac:dyDescent="0.3">
      <c r="D49" s="9" t="s">
        <v>74</v>
      </c>
      <c r="E49" s="3">
        <v>1482.2</v>
      </c>
    </row>
    <row r="50" spans="4:5" x14ac:dyDescent="0.3">
      <c r="D50" s="9" t="s">
        <v>82</v>
      </c>
      <c r="E50" s="3">
        <v>870</v>
      </c>
    </row>
    <row r="51" spans="4:5" x14ac:dyDescent="0.3">
      <c r="D51" s="9" t="s">
        <v>84</v>
      </c>
      <c r="E51" s="3">
        <v>1206</v>
      </c>
    </row>
    <row r="54" spans="4:5" x14ac:dyDescent="0.3">
      <c r="D54" s="26" t="s">
        <v>127</v>
      </c>
    </row>
    <row r="55" spans="4:5" x14ac:dyDescent="0.3">
      <c r="D55" s="27" t="s">
        <v>124</v>
      </c>
      <c r="E55" s="28" t="s">
        <v>123</v>
      </c>
    </row>
    <row r="56" spans="4:5" x14ac:dyDescent="0.3">
      <c r="D56" s="25" t="s">
        <v>104</v>
      </c>
      <c r="E56" s="30">
        <f>AVERAGE(E45:E51)</f>
        <v>1168.5857142857142</v>
      </c>
    </row>
    <row r="57" spans="4:5" x14ac:dyDescent="0.3">
      <c r="D57" s="25" t="s">
        <v>105</v>
      </c>
      <c r="E57" s="25">
        <f>MIN(E45:E51)</f>
        <v>559.29999999999995</v>
      </c>
    </row>
    <row r="58" spans="4:5" x14ac:dyDescent="0.3">
      <c r="D58" s="25" t="s">
        <v>106</v>
      </c>
      <c r="E58" s="25">
        <f>MAX(E45:E51)</f>
        <v>1624</v>
      </c>
    </row>
    <row r="59" spans="4:5" x14ac:dyDescent="0.3">
      <c r="D59" s="25" t="s">
        <v>107</v>
      </c>
      <c r="E59" s="30">
        <f>_xlfn.STDEV.P(E45:E51)</f>
        <v>336.57164140182488</v>
      </c>
    </row>
    <row r="60" spans="4:5" x14ac:dyDescent="0.3">
      <c r="D60" s="25" t="s">
        <v>108</v>
      </c>
      <c r="E60" s="30">
        <f>_xlfn.VAR.P(E45:E51)</f>
        <v>113280.46979591859</v>
      </c>
    </row>
    <row r="61" spans="4:5" x14ac:dyDescent="0.3">
      <c r="D61" s="25" t="s">
        <v>110</v>
      </c>
      <c r="E61" s="30">
        <f>SKEW(E45:E51)</f>
        <v>-0.60272441522334363</v>
      </c>
    </row>
    <row r="63" spans="4:5" x14ac:dyDescent="0.3">
      <c r="D63" t="s">
        <v>128</v>
      </c>
    </row>
    <row r="67" spans="4:4" x14ac:dyDescent="0.3">
      <c r="D67" s="23" t="s">
        <v>121</v>
      </c>
    </row>
  </sheetData>
  <sortState ref="A31:B35">
    <sortCondition descending="1" ref="B31:B35"/>
  </sortState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Medicinal Purchase</vt:lpstr>
      <vt:lpstr>Non-medicinal Sales</vt:lpstr>
      <vt:lpstr>Medicinal details</vt:lpstr>
      <vt:lpstr>Non-medicinal details</vt:lpstr>
      <vt:lpstr>Non med analysis</vt:lpstr>
      <vt:lpstr>Medicinal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2025-05-04T08:00:02Z</dcterms:created>
  <dcterms:modified xsi:type="dcterms:W3CDTF">2025-07-08T12:07:12Z</dcterms:modified>
</cp:coreProperties>
</file>